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Inno3-VI\SAMPLES\MASTER PART SELECTION\RevC\"/>
    </mc:Choice>
  </mc:AlternateContent>
  <bookViews>
    <workbookView xWindow="45" yWindow="4185" windowWidth="10755" windowHeight="3960" tabRatio="863" activeTab="4"/>
  </bookViews>
  <sheets>
    <sheet name="Hcode_master_list" sheetId="7" r:id="rId1"/>
    <sheet name="STDHCode_List" sheetId="10" r:id="rId2"/>
    <sheet name="ProductionCode_List" sheetId="13" r:id="rId3"/>
    <sheet name="Data Lookup" sheetId="9" r:id="rId4"/>
    <sheet name="New_Entry_Rubric" sheetId="12" r:id="rId5"/>
    <sheet name="RevHistory" sheetId="2" r:id="rId6"/>
  </sheets>
  <definedNames>
    <definedName name="_xlnm._FilterDatabase" localSheetId="3" hidden="1">'Data Lookup'!$A$1:$S$15</definedName>
    <definedName name="_xlnm._FilterDatabase" localSheetId="0" hidden="1">Hcode_master_list!$A$13:$AV$53</definedName>
    <definedName name="_xlnm._FilterDatabase" localSheetId="2" hidden="1">ProductionCode_List!$A$13:$AV$35</definedName>
    <definedName name="_xlnm._FilterDatabase" localSheetId="1" hidden="1">STDHCode_List!$A$13:$AV$35</definedName>
  </definedNames>
  <calcPr calcId="162913"/>
</workbook>
</file>

<file path=xl/calcChain.xml><?xml version="1.0" encoding="utf-8"?>
<calcChain xmlns="http://schemas.openxmlformats.org/spreadsheetml/2006/main">
  <c r="B18" i="13" l="1"/>
  <c r="B19" i="13"/>
  <c r="B20" i="13"/>
  <c r="B15" i="13"/>
  <c r="B16" i="13"/>
  <c r="B17" i="13"/>
  <c r="B14" i="13"/>
  <c r="B3" i="13"/>
  <c r="B39" i="7" l="1"/>
  <c r="B3" i="10" l="1"/>
  <c r="B38" i="7" l="1"/>
  <c r="B36" i="7" l="1"/>
  <c r="B37" i="7"/>
  <c r="B29" i="7" l="1"/>
  <c r="B30" i="7"/>
  <c r="B31" i="7"/>
  <c r="B32" i="7"/>
  <c r="B33" i="7"/>
  <c r="B34" i="7"/>
  <c r="B35" i="7"/>
  <c r="B28" i="7" l="1"/>
  <c r="B27" i="7"/>
  <c r="B26" i="7" l="1"/>
  <c r="B25" i="7"/>
  <c r="B15" i="7" l="1"/>
  <c r="B16" i="7"/>
  <c r="B17" i="7"/>
  <c r="B18" i="7"/>
  <c r="B19" i="7"/>
  <c r="B20" i="7"/>
  <c r="B21" i="7"/>
  <c r="B22" i="7"/>
  <c r="B23" i="7"/>
  <c r="B24" i="7"/>
  <c r="B14" i="7"/>
  <c r="B15" i="10" l="1"/>
  <c r="B16" i="10"/>
  <c r="B17" i="10"/>
  <c r="B14" i="10"/>
  <c r="F24" i="9" l="1"/>
  <c r="B18" i="9" a="1"/>
  <c r="B18" i="9" s="1"/>
  <c r="B3" i="12" l="1"/>
  <c r="B13" i="12" s="1"/>
  <c r="S20" i="9" l="1"/>
  <c r="R20" i="9"/>
  <c r="Q20" i="9"/>
  <c r="P20" i="9"/>
  <c r="O20" i="9"/>
  <c r="N20" i="9"/>
  <c r="M20" i="9"/>
  <c r="L20" i="9"/>
  <c r="K20" i="9"/>
  <c r="J20" i="9"/>
  <c r="I20" i="9"/>
  <c r="F20" i="9"/>
  <c r="F21" i="9" s="1"/>
  <c r="K13" i="12" s="1"/>
  <c r="G20" i="9"/>
  <c r="H20" i="9"/>
  <c r="L4" i="9"/>
  <c r="L5" i="9"/>
  <c r="L6" i="9"/>
  <c r="L7" i="9"/>
  <c r="L8" i="9"/>
  <c r="L9" i="9"/>
  <c r="L10" i="9"/>
  <c r="L11" i="9"/>
  <c r="L12" i="9"/>
  <c r="L13" i="9"/>
  <c r="L14" i="9"/>
  <c r="L15" i="9"/>
  <c r="L3" i="9"/>
  <c r="K4" i="9"/>
  <c r="K5" i="9"/>
  <c r="K6" i="9"/>
  <c r="K7" i="9"/>
  <c r="K8" i="9"/>
  <c r="K9" i="9"/>
  <c r="K10" i="9"/>
  <c r="K11" i="9"/>
  <c r="K12" i="9"/>
  <c r="K13" i="9"/>
  <c r="K14" i="9"/>
  <c r="K15" i="9"/>
  <c r="K3" i="9"/>
  <c r="O21" i="9" l="1"/>
  <c r="AK24" i="12" s="1"/>
  <c r="S21" i="9"/>
  <c r="N21" i="9"/>
  <c r="AJ24" i="12" s="1"/>
  <c r="G21" i="9"/>
  <c r="L13" i="12" s="1"/>
  <c r="H21" i="9"/>
  <c r="M24" i="12" s="1"/>
  <c r="K21" i="9"/>
  <c r="AG24" i="12" s="1"/>
  <c r="J21" i="9"/>
  <c r="AF24" i="12" s="1"/>
  <c r="I21" i="9"/>
  <c r="O24" i="12" s="1"/>
  <c r="R21" i="9"/>
  <c r="M21" i="9"/>
  <c r="AI24" i="12" s="1"/>
  <c r="L21" i="9"/>
  <c r="AH24" i="12" s="1"/>
  <c r="Q21" i="9"/>
  <c r="AM24" i="12" s="1"/>
  <c r="P21" i="9"/>
  <c r="AL24" i="12" s="1"/>
  <c r="F25" i="9"/>
  <c r="N24" i="12" s="1"/>
</calcChain>
</file>

<file path=xl/comments1.xml><?xml version="1.0" encoding="utf-8"?>
<comments xmlns="http://schemas.openxmlformats.org/spreadsheetml/2006/main">
  <authors>
    <author>Charles Xie</author>
    <author>Vikram Balakrishnan</author>
  </authors>
  <commentList>
    <comment ref="G12" authorId="0" shapeId="0">
      <text>
        <r>
          <rPr>
            <b/>
            <sz val="9"/>
            <color indexed="81"/>
            <rFont val="Tahoma"/>
            <family val="2"/>
          </rPr>
          <t>Charles Xie:</t>
        </r>
        <r>
          <rPr>
            <sz val="9"/>
            <color indexed="81"/>
            <rFont val="Tahoma"/>
            <family val="2"/>
          </rPr>
          <t xml:space="preserve">
will be calculated based on features input from Hcode</t>
        </r>
      </text>
    </comment>
    <comment ref="AE12" authorId="1" shapeId="0">
      <text>
        <r>
          <rPr>
            <b/>
            <sz val="9"/>
            <color indexed="81"/>
            <rFont val="Tahoma"/>
            <family val="2"/>
          </rPr>
          <t>Vikram Balakrishnan:</t>
        </r>
        <r>
          <rPr>
            <sz val="9"/>
            <color indexed="81"/>
            <rFont val="Tahoma"/>
            <family val="2"/>
          </rPr>
          <t xml:space="preserve">
numbered as "20" to indicate it speeds up clock 20%. 
Set to 0 to disable, 1 to enable
- IC recommends 0 9/22/16</t>
        </r>
      </text>
    </comment>
  </commentList>
</comments>
</file>

<file path=xl/comments2.xml><?xml version="1.0" encoding="utf-8"?>
<comments xmlns="http://schemas.openxmlformats.org/spreadsheetml/2006/main">
  <authors>
    <author>Vikram Balakrishnan</author>
  </authors>
  <commentList>
    <comment ref="AE12" authorId="0" shapeId="0">
      <text>
        <r>
          <rPr>
            <b/>
            <sz val="9"/>
            <color indexed="81"/>
            <rFont val="Tahoma"/>
            <family val="2"/>
          </rPr>
          <t>Vikram Balakrishnan:</t>
        </r>
        <r>
          <rPr>
            <sz val="9"/>
            <color indexed="81"/>
            <rFont val="Tahoma"/>
            <family val="2"/>
          </rPr>
          <t xml:space="preserve">
numbered as "20" to indicate it speeds up clock 20%. 
Set to 0 to disable, 1 to enable
- IC recommends 0 9/22/16</t>
        </r>
      </text>
    </comment>
  </commentList>
</comments>
</file>

<file path=xl/comments3.xml><?xml version="1.0" encoding="utf-8"?>
<comments xmlns="http://schemas.openxmlformats.org/spreadsheetml/2006/main">
  <authors>
    <author>Vikram Balakrishnan</author>
  </authors>
  <commentList>
    <comment ref="AE12" authorId="0" shapeId="0">
      <text>
        <r>
          <rPr>
            <b/>
            <sz val="9"/>
            <color indexed="81"/>
            <rFont val="Tahoma"/>
            <family val="2"/>
          </rPr>
          <t>Vikram Balakrishnan:</t>
        </r>
        <r>
          <rPr>
            <sz val="9"/>
            <color indexed="81"/>
            <rFont val="Tahoma"/>
            <family val="2"/>
          </rPr>
          <t xml:space="preserve">
numbered as "20" to indicate it speeds up clock 20%. 
Set to 0 to disable, 1 to enable
- IC recommends 0 9/22/16</t>
        </r>
      </text>
    </comment>
  </commentList>
</comments>
</file>

<file path=xl/comments4.xml><?xml version="1.0" encoding="utf-8"?>
<comments xmlns="http://schemas.openxmlformats.org/spreadsheetml/2006/main">
  <authors>
    <author>Munadir Aziz Ahmed</author>
    <author>Charles Xie</author>
    <author>Vikram Balakrishnan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Automated:</t>
        </r>
        <r>
          <rPr>
            <sz val="9"/>
            <color indexed="81"/>
            <rFont val="Tahoma"/>
            <family val="2"/>
          </rPr>
          <t xml:space="preserve">
1 - HX
2 - HC
3 - HZ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>Charles Xie:</t>
        </r>
        <r>
          <rPr>
            <sz val="9"/>
            <color indexed="81"/>
            <rFont val="Tahoma"/>
            <family val="2"/>
          </rPr>
          <t xml:space="preserve">
will be calculated based on features input from Hcode</t>
        </r>
      </text>
    </comment>
    <comment ref="P11" authorId="2" shapeId="0">
      <text>
        <r>
          <rPr>
            <sz val="9"/>
            <color indexed="81"/>
            <rFont val="Tahoma"/>
            <family val="2"/>
          </rPr>
          <t>Primary Osc Freq
w/ SS: 21.9
w/o SS: 100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OV Function on V-Pin
0 - disable bit (line OV enabled)
1- enable bit (disable live OV)</t>
        </r>
      </text>
    </comment>
    <comment ref="R11" authorId="0" shapeId="0">
      <text>
        <r>
          <rPr>
            <b/>
            <sz val="9"/>
            <color indexed="81"/>
            <rFont val="Tahoma"/>
            <family val="2"/>
          </rPr>
          <t xml:space="preserve">Normal or reduced UV threshold
</t>
        </r>
        <r>
          <rPr>
            <sz val="9"/>
            <color indexed="81"/>
            <rFont val="Tahoma"/>
            <family val="2"/>
          </rPr>
          <t>0 - normal
1 - reduced (disable line UV)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UV timer:
0 - 32ms
1 - 400ms</t>
        </r>
      </text>
    </comment>
    <comment ref="T11" authorId="0" shapeId="0">
      <text>
        <r>
          <rPr>
            <sz val="9"/>
            <color indexed="81"/>
            <rFont val="Tahoma"/>
            <family val="2"/>
          </rPr>
          <t>latch instead of AR
0 - AR on AR event
1 - latch on AR event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prim doesn't take control after 1 sec of no secreq
0 - disable
1 - enable</t>
        </r>
      </text>
    </comment>
    <comment ref="W11" authorId="0" shapeId="0">
      <text>
        <r>
          <rPr>
            <sz val="9"/>
            <color indexed="81"/>
            <rFont val="Tahoma"/>
            <family val="2"/>
          </rPr>
          <t>0 - normal hys (67C)
1- reduced hys (30C)</t>
        </r>
      </text>
    </comment>
    <comment ref="X11" authorId="0" shapeId="0">
      <text>
        <r>
          <rPr>
            <sz val="9"/>
            <color indexed="81"/>
            <rFont val="Tahoma"/>
            <family val="2"/>
          </rPr>
          <t>latch on OTP
0 - disable
1 - enable</t>
        </r>
      </text>
    </comment>
    <comment ref="Y11" authorId="0" shapeId="0">
      <text>
        <r>
          <rPr>
            <sz val="9"/>
            <color indexed="81"/>
            <rFont val="Tahoma"/>
            <family val="2"/>
          </rPr>
          <t>user programming of BPP cap select
0 - programming enabled
1- programming disabled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only valid if ILIM_sel_OFF trimmed
0 - ILIM STD
1 - ILIM INC</t>
        </r>
      </text>
    </comment>
    <comment ref="AC11" authorId="0" shapeId="0">
      <text>
        <r>
          <rPr>
            <b/>
            <sz val="9"/>
            <color indexed="81"/>
            <rFont val="Tahoma"/>
            <family val="2"/>
          </rPr>
          <t>Munadir:</t>
        </r>
        <r>
          <rPr>
            <sz val="9"/>
            <color indexed="81"/>
            <rFont val="Tahoma"/>
            <family val="2"/>
          </rPr>
          <t xml:space="preserve">
primary S.S. disable/enable</t>
        </r>
      </text>
    </comment>
    <comment ref="AE11" authorId="2" shapeId="0">
      <text>
        <r>
          <rPr>
            <b/>
            <sz val="9"/>
            <color indexed="81"/>
            <rFont val="Tahoma"/>
            <family val="2"/>
          </rPr>
          <t>Vikram Balakrishnan:</t>
        </r>
        <r>
          <rPr>
            <sz val="9"/>
            <color indexed="81"/>
            <rFont val="Tahoma"/>
            <family val="2"/>
          </rPr>
          <t xml:space="preserve">
numbered as "20" to indicate it speeds up clock 20%. 
Set to 0 to disable, 1 to enable
- IC recommends 0 9/22/16</t>
        </r>
      </text>
    </comment>
    <comment ref="AN11" authorId="0" shapeId="0">
      <text>
        <r>
          <rPr>
            <sz val="9"/>
            <color indexed="81"/>
            <rFont val="Tahoma"/>
            <family val="2"/>
          </rPr>
          <t>prim goes to AR instead of latch off when special command from sec.
0 - latch-off
1 - AR</t>
        </r>
      </text>
    </comment>
    <comment ref="AP11" authorId="1" shapeId="0">
      <text>
        <r>
          <rPr>
            <b/>
            <sz val="8"/>
            <color indexed="81"/>
            <rFont val="Tahoma"/>
            <family val="2"/>
          </rPr>
          <t>for External IS Rsense
0.03588 - typical</t>
        </r>
      </text>
    </comment>
    <comment ref="BO11" authorId="0" shapeId="0">
      <text>
        <r>
          <rPr>
            <b/>
            <sz val="9"/>
            <color indexed="81"/>
            <rFont val="Tahoma"/>
            <family val="2"/>
          </rPr>
          <t>Munadir Aziz Ahmed:</t>
        </r>
        <r>
          <rPr>
            <sz val="9"/>
            <color indexed="81"/>
            <rFont val="Tahoma"/>
            <family val="2"/>
          </rPr>
          <t xml:space="preserve">
DSoftEn (in EEPROM)</t>
        </r>
      </text>
    </comment>
    <comment ref="BS11" authorId="0" shapeId="0">
      <text>
        <r>
          <rPr>
            <b/>
            <sz val="9"/>
            <color indexed="81"/>
            <rFont val="Tahoma"/>
            <family val="2"/>
          </rPr>
          <t>Munadir Aziz Ahmed:</t>
        </r>
        <r>
          <rPr>
            <sz val="9"/>
            <color indexed="81"/>
            <rFont val="Tahoma"/>
            <family val="2"/>
          </rPr>
          <t xml:space="preserve">
VESR (in EEPROM)</t>
        </r>
      </text>
    </comment>
    <comment ref="CD11" authorId="0" shapeId="0">
      <text>
        <r>
          <rPr>
            <b/>
            <sz val="9"/>
            <color indexed="81"/>
            <rFont val="Tahoma"/>
            <family val="2"/>
          </rPr>
          <t>Munadir Aziz Ahmed:</t>
        </r>
        <r>
          <rPr>
            <sz val="9"/>
            <color indexed="81"/>
            <rFont val="Tahoma"/>
            <family val="2"/>
          </rPr>
          <t xml:space="preserve">
trim_CCesr</t>
        </r>
      </text>
    </comment>
    <comment ref="CK11" authorId="0" shapeId="0">
      <text>
        <r>
          <rPr>
            <b/>
            <sz val="9"/>
            <color indexed="81"/>
            <rFont val="Tahoma"/>
            <family val="2"/>
          </rPr>
          <t>Munadir Aziz Ahmed:</t>
        </r>
        <r>
          <rPr>
            <sz val="9"/>
            <color indexed="81"/>
            <rFont val="Tahoma"/>
            <family val="2"/>
          </rPr>
          <t xml:space="preserve">
PKSSLd (in EEPROM)</t>
        </r>
      </text>
    </comment>
    <comment ref="DC11" authorId="0" shapeId="0">
      <text>
        <r>
          <rPr>
            <b/>
            <sz val="9"/>
            <color indexed="81"/>
            <rFont val="Tahoma"/>
            <family val="2"/>
          </rPr>
          <t>Munadir Aziz Ahmed:</t>
        </r>
        <r>
          <rPr>
            <sz val="9"/>
            <color indexed="81"/>
            <rFont val="Tahoma"/>
            <family val="2"/>
          </rPr>
          <t xml:space="preserve">
trim_no_fb_pin</t>
        </r>
      </text>
    </comment>
    <comment ref="ER11" authorId="0" shapeId="0">
      <text>
        <r>
          <rPr>
            <b/>
            <sz val="9"/>
            <color indexed="81"/>
            <rFont val="Tahoma"/>
            <family val="2"/>
          </rPr>
          <t>Munadir Aziz Ahmed:</t>
        </r>
        <r>
          <rPr>
            <sz val="9"/>
            <color indexed="81"/>
            <rFont val="Tahoma"/>
            <family val="2"/>
          </rPr>
          <t xml:space="preserve">
trim_Ido_3p6v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Munadir Aziz Ahmed:</t>
        </r>
        <r>
          <rPr>
            <sz val="9"/>
            <color indexed="81"/>
            <rFont val="Tahoma"/>
            <family val="2"/>
          </rPr>
          <t xml:space="preserve">
1 - CE
2 - CP
6 - EP
if empty - x is placed for HC code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V Breakdown:
6 - 650V
7 - 750V</t>
        </r>
      </text>
    </comment>
    <comment ref="J13" authorId="0" shapeId="0">
      <text>
        <r>
          <rPr>
            <sz val="9"/>
            <color indexed="81"/>
            <rFont val="Tahoma"/>
            <family val="2"/>
          </rPr>
          <t>Size: 2 - 8</t>
        </r>
      </text>
    </comment>
  </commentList>
</comments>
</file>

<file path=xl/sharedStrings.xml><?xml version="1.0" encoding="utf-8"?>
<sst xmlns="http://schemas.openxmlformats.org/spreadsheetml/2006/main" count="1735" uniqueCount="467">
  <si>
    <t>FAMILY</t>
  </si>
  <si>
    <t>REV</t>
  </si>
  <si>
    <t>DATE</t>
  </si>
  <si>
    <t>COMMENT</t>
  </si>
  <si>
    <t>Comments: You may include as many comment lines as you like, so long as they are preceded by the COMMENT keyword.</t>
  </si>
  <si>
    <t>Usage: The first column of each line must begin with a valid keyword.</t>
  </si>
  <si>
    <t>Keywords: The set of valid keywords are { FAMILY, REV, DATE, COMMENT, BEGIN TRIMOPS, UNIT, HEADER, TRIMOPS, END TRIMOPS }.</t>
  </si>
  <si>
    <t>Keywords: The minimum valid set and order for keywords is { DATE, REV, BEGIN TRIMOPS, UNIT, HEADER, TRIMOPS, END TRIMOPS }.</t>
  </si>
  <si>
    <t>Instructions: This file must be saved as a Comma Separated Value (CSV) file for use in test programs.</t>
  </si>
  <si>
    <t>BEGIN TRIMOPS</t>
  </si>
  <si>
    <t>HEADER</t>
  </si>
  <si>
    <t>Part ID</t>
  </si>
  <si>
    <t>DevNum</t>
  </si>
  <si>
    <t>Die Size</t>
  </si>
  <si>
    <t>Fosc_P</t>
  </si>
  <si>
    <t>Fosc_S</t>
  </si>
  <si>
    <t>ILIM</t>
  </si>
  <si>
    <t>CV</t>
  </si>
  <si>
    <t>iOV-</t>
  </si>
  <si>
    <t>BVD_Rm</t>
  </si>
  <si>
    <t>BVD_Hot</t>
  </si>
  <si>
    <t>UNIT</t>
  </si>
  <si>
    <t>(none)</t>
  </si>
  <si>
    <t>(kHz)</t>
  </si>
  <si>
    <t>(mA)</t>
  </si>
  <si>
    <t>(%)</t>
  </si>
  <si>
    <t>(V)</t>
  </si>
  <si>
    <t>(us)</t>
  </si>
  <si>
    <t>(uA)</t>
  </si>
  <si>
    <t>TRIMOPS</t>
  </si>
  <si>
    <t>END TRIMOPS</t>
  </si>
  <si>
    <t>Hcode</t>
  </si>
  <si>
    <t>0</t>
  </si>
  <si>
    <t>2</t>
  </si>
  <si>
    <t>3</t>
  </si>
  <si>
    <t>IovOFF</t>
  </si>
  <si>
    <t>Iuv-_10uA</t>
  </si>
  <si>
    <t>AR_latch</t>
  </si>
  <si>
    <t>didtComp</t>
  </si>
  <si>
    <t>OT_hys</t>
  </si>
  <si>
    <t>OT_latch</t>
  </si>
  <si>
    <t>ILIM_less</t>
  </si>
  <si>
    <t>ILIM_more</t>
  </si>
  <si>
    <t>Samsung</t>
  </si>
  <si>
    <t>OTP_code</t>
  </si>
  <si>
    <t>Rcv</t>
  </si>
  <si>
    <t>(mV)</t>
  </si>
  <si>
    <t>Driver_Size</t>
  </si>
  <si>
    <t>Rs_up</t>
  </si>
  <si>
    <t>Vx_adj</t>
  </si>
  <si>
    <t>ILIM+1/ILIM</t>
  </si>
  <si>
    <t>ILIM_TC</t>
  </si>
  <si>
    <t>Trim_code</t>
  </si>
  <si>
    <t>ILIM_sel</t>
  </si>
  <si>
    <t>ILIM_sel_OFF</t>
  </si>
  <si>
    <t>uv_dly</t>
  </si>
  <si>
    <t>AR_off</t>
  </si>
  <si>
    <t>(4bits 36 to 39)</t>
  </si>
  <si>
    <t>(5bits 41 to 45)</t>
  </si>
  <si>
    <t>(4bits 46 to 49)</t>
  </si>
  <si>
    <t>CC_Isvth</t>
  </si>
  <si>
    <t>Rev</t>
  </si>
  <si>
    <t>Description</t>
  </si>
  <si>
    <t xml:space="preserve"> </t>
  </si>
  <si>
    <t xml:space="preserve">   </t>
  </si>
  <si>
    <t>Inno3X Trim Options(targets)</t>
  </si>
  <si>
    <t>AR_req</t>
  </si>
  <si>
    <t>(no latch off req)</t>
  </si>
  <si>
    <t>SilRev_P</t>
  </si>
  <si>
    <t>SilRev_S</t>
  </si>
  <si>
    <t>Family</t>
  </si>
  <si>
    <t>Date</t>
  </si>
  <si>
    <t>tOVL</t>
  </si>
  <si>
    <t>HX</t>
  </si>
  <si>
    <t>HC</t>
  </si>
  <si>
    <t>DLM Size</t>
  </si>
  <si>
    <t>DLM BV</t>
  </si>
  <si>
    <t>InnoSwitch</t>
  </si>
  <si>
    <t>INN3x62</t>
  </si>
  <si>
    <t>INN3x72</t>
  </si>
  <si>
    <t>INx3x63</t>
  </si>
  <si>
    <t>INN3x73</t>
  </si>
  <si>
    <t>INN3x64</t>
  </si>
  <si>
    <t>INN3x74</t>
  </si>
  <si>
    <t>INN3x65</t>
  </si>
  <si>
    <t>INN3x75</t>
  </si>
  <si>
    <t>INN3x66</t>
  </si>
  <si>
    <t>INN3x77</t>
  </si>
  <si>
    <t>INN3x67</t>
  </si>
  <si>
    <t>INN3x68</t>
  </si>
  <si>
    <t>ILIM + 1</t>
  </si>
  <si>
    <t>INN3x76</t>
  </si>
  <si>
    <t>Hcode Index for Name</t>
  </si>
  <si>
    <t>Selection Row Index</t>
  </si>
  <si>
    <t>Selected value</t>
  </si>
  <si>
    <t>Selected Column Index</t>
  </si>
  <si>
    <t>Duplicated Hcode (if any)</t>
  </si>
  <si>
    <t>Hcode List for Standard Families</t>
  </si>
  <si>
    <t>iOV+</t>
  </si>
  <si>
    <t>Isvth</t>
  </si>
  <si>
    <t>bit 16</t>
  </si>
  <si>
    <t>bit 17</t>
  </si>
  <si>
    <t>bit 18</t>
  </si>
  <si>
    <t>bit 19</t>
  </si>
  <si>
    <t>bit 20</t>
  </si>
  <si>
    <t>bit 21</t>
  </si>
  <si>
    <t>bit 22</t>
  </si>
  <si>
    <t>bit 23</t>
  </si>
  <si>
    <t>bit 24</t>
  </si>
  <si>
    <t>bit 25</t>
  </si>
  <si>
    <t>bit 26</t>
  </si>
  <si>
    <t>bit 27</t>
  </si>
  <si>
    <t>bit 28</t>
  </si>
  <si>
    <t>bit 29,30,31</t>
  </si>
  <si>
    <t>bit 32</t>
  </si>
  <si>
    <t>bit 33,34,35</t>
  </si>
  <si>
    <t>bit 36,37,38,39</t>
  </si>
  <si>
    <t>bit 40</t>
  </si>
  <si>
    <t>bits 41 to 45</t>
  </si>
  <si>
    <t>bits 46 to 49</t>
  </si>
  <si>
    <t>bits 50 to 53</t>
  </si>
  <si>
    <t>bit 54</t>
  </si>
  <si>
    <t>Update by</t>
  </si>
  <si>
    <t>Munadir Ahmed</t>
  </si>
  <si>
    <t>HCode (HX or HC or HZ) =</t>
  </si>
  <si>
    <t>1.0A</t>
  </si>
  <si>
    <t>Created Initial Copy</t>
  </si>
  <si>
    <t>HP00</t>
  </si>
  <si>
    <t>HP01</t>
  </si>
  <si>
    <t>H301</t>
  </si>
  <si>
    <t>HP02</t>
  </si>
  <si>
    <t>1.0B</t>
  </si>
  <si>
    <t>Changed ISVTH to 32mV, unhid DLM BV and Size, changed SilRev_P,_S</t>
  </si>
  <si>
    <t>INN3375C-H301</t>
  </si>
  <si>
    <t>INN3376C-H301</t>
  </si>
  <si>
    <t>INN3377C-H301</t>
  </si>
  <si>
    <t>1.0C</t>
  </si>
  <si>
    <t>Part ID matching Inno 3 format</t>
  </si>
  <si>
    <t>1.0D</t>
  </si>
  <si>
    <t>Updated Device 7(BV) Size 5 for Vx_adjust to be 31</t>
  </si>
  <si>
    <t>1.0E</t>
  </si>
  <si>
    <t>Deleted columns that are not needed by Product Engineering/Test</t>
  </si>
  <si>
    <t>1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</si>
  <si>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</si>
  <si>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</si>
  <si>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</si>
  <si>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</si>
  <si>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</si>
  <si>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</si>
  <si>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</si>
  <si>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</si>
  <si>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</si>
  <si>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</si>
  <si>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</si>
  <si>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</si>
  <si>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</si>
  <si>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</si>
  <si>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</si>
  <si>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</si>
  <si>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</si>
  <si>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</si>
  <si>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</si>
  <si>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</si>
  <si>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</si>
  <si>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</si>
  <si>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</si>
  <si>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</si>
  <si>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</si>
  <si>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</si>
  <si>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</si>
  <si>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</si>
  <si>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</si>
  <si>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</si>
  <si>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</si>
  <si>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</si>
  <si>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</si>
  <si>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</si>
  <si>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</si>
  <si>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</si>
  <si>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</si>
  <si>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</si>
  <si>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</si>
  <si>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</si>
  <si>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</si>
  <si>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</si>
  <si>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</si>
  <si>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</si>
  <si>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</si>
  <si>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</si>
  <si>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</si>
  <si>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</si>
  <si>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</si>
  <si>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</si>
  <si>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</si>
  <si>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</si>
  <si>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</si>
  <si>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</si>
  <si>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</si>
  <si>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</si>
  <si>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</si>
  <si>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</si>
  <si>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</si>
  <si>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</si>
  <si>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</si>
  <si>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</si>
  <si>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</si>
  <si>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</si>
  <si>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</si>
  <si>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</si>
  <si>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</si>
  <si>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</si>
  <si>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</si>
  <si>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</si>
  <si>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</si>
  <si>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</si>
  <si>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</si>
  <si>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</si>
  <si>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</si>
  <si>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</si>
  <si>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</si>
  <si>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</si>
  <si>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</si>
  <si>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</si>
  <si>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</si>
  <si>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</si>
  <si>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</si>
  <si>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</si>
  <si>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</si>
  <si>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</si>
  <si>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</si>
  <si>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</si>
  <si>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</si>
  <si>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</si>
  <si>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</si>
  <si>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</si>
  <si>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</si>
  <si>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</si>
  <si>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</si>
  <si>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</si>
  <si>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</si>
  <si>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</si>
  <si>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</si>
  <si>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</si>
  <si>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</si>
  <si>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</si>
  <si>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</si>
  <si>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</si>
  <si>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</si>
  <si>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</si>
  <si>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</si>
  <si>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</si>
  <si>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</si>
  <si>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</si>
  <si>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</si>
  <si>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</si>
  <si>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</si>
  <si>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</si>
  <si>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</si>
  <si>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</si>
  <si>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</si>
  <si>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</si>
  <si>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</si>
  <si>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</si>
  <si>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</si>
  <si>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</si>
  <si>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</si>
  <si>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</si>
  <si>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SdwReg[0]</t>
  </si>
  <si>
    <t>SdwReg[1]</t>
  </si>
  <si>
    <t>SdwReg[2]</t>
  </si>
  <si>
    <t>SdwReg[3]</t>
  </si>
  <si>
    <t>SdwReg[4]</t>
  </si>
  <si>
    <t>SdwReg[5]</t>
  </si>
  <si>
    <t>SdwReg[6]</t>
  </si>
  <si>
    <t>SdwReg[7]</t>
  </si>
  <si>
    <t>SdwReg[8]</t>
  </si>
  <si>
    <t>SdwReg[9]</t>
  </si>
  <si>
    <t>SdwReg[10]</t>
  </si>
  <si>
    <t>SdwReg[11]</t>
  </si>
  <si>
    <t>SdwReg[12]</t>
  </si>
  <si>
    <t>SdwReg[13]</t>
  </si>
  <si>
    <t>SdwReg[14]</t>
  </si>
  <si>
    <t>SdwReg[15]</t>
  </si>
  <si>
    <t>SdwReg[16]</t>
  </si>
  <si>
    <t>SdwReg[17]</t>
  </si>
  <si>
    <t>SdwReg[18]</t>
  </si>
  <si>
    <t>SdwReg[19]</t>
  </si>
  <si>
    <t>SdwReg[20]</t>
  </si>
  <si>
    <t>SdwReg[21]</t>
  </si>
  <si>
    <t>SdwReg[22]</t>
  </si>
  <si>
    <t>SdwReg[23]</t>
  </si>
  <si>
    <t>SdwReg[24]</t>
  </si>
  <si>
    <t>SdwReg[25]</t>
  </si>
  <si>
    <t>SdwReg[26]</t>
  </si>
  <si>
    <t>SdwReg[27]</t>
  </si>
  <si>
    <t>SdwReg[28]</t>
  </si>
  <si>
    <t>SdwReg[29]</t>
  </si>
  <si>
    <t>SdwReg[30]</t>
  </si>
  <si>
    <t>SdwReg[31]</t>
  </si>
  <si>
    <t>SdwReg[32]</t>
  </si>
  <si>
    <t>SdwReg[33]</t>
  </si>
  <si>
    <t>SdwReg[34]</t>
  </si>
  <si>
    <t>SdwReg[35]</t>
  </si>
  <si>
    <t>SdwReg[36]</t>
  </si>
  <si>
    <t>SdwReg[37]</t>
  </si>
  <si>
    <t>SdwReg[38]</t>
  </si>
  <si>
    <t>SdwReg[39]</t>
  </si>
  <si>
    <t>SdwReg[40]</t>
  </si>
  <si>
    <t>SdwReg[41]</t>
  </si>
  <si>
    <t>SdwReg[42]</t>
  </si>
  <si>
    <t>SdwReg[43]</t>
  </si>
  <si>
    <t>SdwReg[44]</t>
  </si>
  <si>
    <t>SdwReg[45]</t>
  </si>
  <si>
    <t>SdwReg[46]</t>
  </si>
  <si>
    <t>SdwReg[47]</t>
  </si>
  <si>
    <t>SdwReg[48]</t>
  </si>
  <si>
    <t>SdwReg[49]</t>
  </si>
  <si>
    <t>SdwReg[50]</t>
  </si>
  <si>
    <t>SdwReg[51]</t>
  </si>
  <si>
    <t>SdwReg[52]</t>
  </si>
  <si>
    <t>SdwReg[53]</t>
  </si>
  <si>
    <t>SdwReg[54]</t>
  </si>
  <si>
    <t>SdwReg[55]</t>
  </si>
  <si>
    <t>SdwReg[56]</t>
  </si>
  <si>
    <t>SdwReg[57]</t>
  </si>
  <si>
    <t>SdwReg[58]</t>
  </si>
  <si>
    <t>SdwReg[59]</t>
  </si>
  <si>
    <t>SdwReg[60]</t>
  </si>
  <si>
    <t>SdwReg[61]</t>
  </si>
  <si>
    <t>SdwReg[62]</t>
  </si>
  <si>
    <t>SdwReg[63]</t>
  </si>
  <si>
    <t>SdwReg[64]</t>
  </si>
  <si>
    <t>SdwReg[65]</t>
  </si>
  <si>
    <t>SdwReg[66]</t>
  </si>
  <si>
    <t>SdwReg[67]</t>
  </si>
  <si>
    <t>SdwReg[68]</t>
  </si>
  <si>
    <t>SdwReg[69]</t>
  </si>
  <si>
    <t>SdwReg[70]</t>
  </si>
  <si>
    <t>SdwReg[71]</t>
  </si>
  <si>
    <t>SdwReg[72]</t>
  </si>
  <si>
    <t>SdwReg[73]</t>
  </si>
  <si>
    <t>SdwReg[74]</t>
  </si>
  <si>
    <t>SdwReg[75]</t>
  </si>
  <si>
    <t>SdwReg[76]</t>
  </si>
  <si>
    <t>SdwReg[77]</t>
  </si>
  <si>
    <t>SdwReg[78]</t>
  </si>
  <si>
    <t>SdwReg[79]</t>
  </si>
  <si>
    <t>SdwReg[80]</t>
  </si>
  <si>
    <t>SdwReg[81]</t>
  </si>
  <si>
    <t>SdwReg[82]</t>
  </si>
  <si>
    <t>SdwReg[83]</t>
  </si>
  <si>
    <t>SdwReg[84]</t>
  </si>
  <si>
    <t>SdwReg[85]</t>
  </si>
  <si>
    <t>SdwReg[86]</t>
  </si>
  <si>
    <t>SdwReg[87]</t>
  </si>
  <si>
    <t>SdwReg[88]</t>
  </si>
  <si>
    <t>SdwReg[89]</t>
  </si>
  <si>
    <t>SdwReg[90]</t>
  </si>
  <si>
    <t>SdwReg[91]</t>
  </si>
  <si>
    <t>SdwReg[92]</t>
  </si>
  <si>
    <t>SdwReg[93]</t>
  </si>
  <si>
    <t>SdwReg[94]</t>
  </si>
  <si>
    <t>SdwReg[95]</t>
  </si>
  <si>
    <t>SdwReg[96]</t>
  </si>
  <si>
    <t>SdwReg[97]</t>
  </si>
  <si>
    <t>SdwReg[98]</t>
  </si>
  <si>
    <t>SdwReg[99]</t>
  </si>
  <si>
    <t>SdwReg[100]</t>
  </si>
  <si>
    <t>SdwReg[101]</t>
  </si>
  <si>
    <t>SdwReg[102]</t>
  </si>
  <si>
    <t>SdwReg[103]</t>
  </si>
  <si>
    <t>SdwReg[104]</t>
  </si>
  <si>
    <t>SdwReg[105]</t>
  </si>
  <si>
    <t>SdwReg[106]</t>
  </si>
  <si>
    <t>SdwReg[107]</t>
  </si>
  <si>
    <t>SdwReg[108]</t>
  </si>
  <si>
    <t>SdwReg[109]</t>
  </si>
  <si>
    <t>SdwReg[110]</t>
  </si>
  <si>
    <t>SdwReg[111]</t>
  </si>
  <si>
    <t>SdwReg[112]</t>
  </si>
  <si>
    <t>SdwReg[113]</t>
  </si>
  <si>
    <t>SdwReg[114]</t>
  </si>
  <si>
    <t>SdwReg[115]</t>
  </si>
  <si>
    <t>SdwReg[116]</t>
  </si>
  <si>
    <t>SdwReg[117]</t>
  </si>
  <si>
    <t>SdwReg[118]</t>
  </si>
  <si>
    <t>SdwReg[119]</t>
  </si>
  <si>
    <t>SdwReg[120]</t>
  </si>
  <si>
    <t>SdwReg[121]</t>
  </si>
  <si>
    <t>SdwReg[122]</t>
  </si>
  <si>
    <t>SdwReg[123]</t>
  </si>
  <si>
    <t>SdwReg[124]</t>
  </si>
  <si>
    <t>SdwReg[125]</t>
  </si>
  <si>
    <t>SdwReg[126]</t>
  </si>
  <si>
    <t>SdwReg[127]</t>
  </si>
  <si>
    <t>2.0A</t>
  </si>
  <si>
    <t>Added new shadow register columns and updated the macros to check these new columns</t>
  </si>
  <si>
    <t>2.0B</t>
  </si>
  <si>
    <t>Removed DsoftEn, VesrApp, PksLd from "antifuse" and put in shadow reg. Updated macros as well.</t>
  </si>
  <si>
    <t>2.0C</t>
  </si>
  <si>
    <t>removed TFCode and update macros</t>
  </si>
  <si>
    <t>updated tOVL to 9.1</t>
  </si>
  <si>
    <t>SDS_off</t>
  </si>
  <si>
    <t>bit32</t>
  </si>
  <si>
    <t>HP03</t>
  </si>
  <si>
    <t>updated Vpin_ctrl_iREF to SDS_off, also updated macros and input GUI</t>
  </si>
  <si>
    <t>as per Jay's email(1/29/18) changed H301 from HP00 to HP03 (which is like HP00 but with SRS disable)</t>
  </si>
  <si>
    <t>updated all for Rev C shawdow reg defaults: 80-87 set to 0 on all 3 sheets</t>
  </si>
  <si>
    <t>as per dan's email (3/12/18): "We need to trim shadow register bits 69, 70, and 71.  This is for adding negative offset to the CC comparator.  "</t>
  </si>
  <si>
    <t>HP04</t>
  </si>
  <si>
    <t>HP05</t>
  </si>
  <si>
    <t>HP06</t>
  </si>
  <si>
    <t>HP07</t>
  </si>
  <si>
    <t>HP08</t>
  </si>
  <si>
    <t>HP09</t>
  </si>
  <si>
    <t>HP10</t>
  </si>
  <si>
    <t>HP11</t>
  </si>
  <si>
    <t>HP12</t>
  </si>
  <si>
    <t>HP13</t>
  </si>
  <si>
    <t>HP14</t>
  </si>
  <si>
    <t>HP15</t>
  </si>
  <si>
    <t>HP16</t>
  </si>
  <si>
    <t>HP17</t>
  </si>
  <si>
    <t>HP18</t>
  </si>
  <si>
    <t>as per johnny's email (3/22/18) "In the new trim, could you please enable bit[55] to disable calibration"</t>
  </si>
  <si>
    <t>Additionally HEng is being used for the entire string combination and not just feature bits</t>
  </si>
  <si>
    <t>Default for Size and BV</t>
  </si>
  <si>
    <t>H_Eng</t>
  </si>
  <si>
    <t xml:space="preserve">Akshay </t>
  </si>
  <si>
    <t>custom trim and Hcode for a Inno3-Pro Size 6 trimmed to the same ILIM as the Size 5 device</t>
  </si>
  <si>
    <t>HP19</t>
  </si>
  <si>
    <t>HP20</t>
  </si>
  <si>
    <t>HP21</t>
  </si>
  <si>
    <t>custom trim and Hcode for a Inno3-Pro Size 8 with CC_hys change (HP20) and remove sync on sec_req_adc (HP21)</t>
  </si>
  <si>
    <t>HP22</t>
  </si>
  <si>
    <t>HP23</t>
  </si>
  <si>
    <t>HP24</t>
  </si>
  <si>
    <t>HP25</t>
  </si>
  <si>
    <t>HP26</t>
  </si>
  <si>
    <t>HP27</t>
  </si>
  <si>
    <t>HP28</t>
  </si>
  <si>
    <t>changed all STD H301 with bit 76 trimmed to 1. moved the oly codes to master list see email on 4/9/18</t>
  </si>
  <si>
    <t>added  SC1738C HC00, that is same as H301 size 8, BV6</t>
  </si>
  <si>
    <t>HC00</t>
  </si>
  <si>
    <t>SC1738C-HC00</t>
  </si>
  <si>
    <t>updated SC1738 HC00, such that ILIM is locked to ILIM + 1</t>
  </si>
  <si>
    <t>HP29</t>
  </si>
  <si>
    <t>updated all trims so bits 69:71 set to 0. CC offset changed from 8 to 0. Changed in all three files. See Johnny's email from 5/1/18</t>
  </si>
  <si>
    <t>HC01</t>
  </si>
  <si>
    <t>SC1750C-HC01</t>
  </si>
  <si>
    <t>HP30</t>
  </si>
  <si>
    <t>Added SC1750C HC01 which like H301 BV7 Size 7 but with ILIM+1 locked</t>
  </si>
  <si>
    <t xml:space="preserve">, , </t>
  </si>
  <si>
    <t>HP31</t>
  </si>
  <si>
    <t>Changed SC1750C and SC1738C to trim AR req bit as all faults should be AR, same HC codes, see email dated 5/9/18</t>
  </si>
  <si>
    <t>HP32</t>
  </si>
  <si>
    <t>HP33</t>
  </si>
  <si>
    <t>standard part INN3368C-H301 with synchronous sampling for R&amp;D purpose. Eng Code HP33.</t>
  </si>
  <si>
    <t>Updated SC1750C-HC01 as per Rolands request to include Hcode in trim table. Reading bit s 111:107 of SREG6 gives Hcode of the part. See my email dated 5/18/2018.</t>
  </si>
  <si>
    <t>=Hcode_master_list!B2</t>
  </si>
  <si>
    <t>Corrected the error in ILIM+1 value to 1550. See Daniel email dated 5/21/2018.</t>
  </si>
  <si>
    <t>HP34</t>
  </si>
  <si>
    <t>Created HP34, same configuration as HC01 but ILIM increased to 1850 and Hcode trim not included in trim table (bit 108:111). Samples requested by Roland to send to Tiny</t>
  </si>
  <si>
    <t>SC1738C-TL</t>
  </si>
  <si>
    <t>SC1750C-TL</t>
  </si>
  <si>
    <t>3.15</t>
  </si>
  <si>
    <t>Added new sheet with production code list as per Paul's request. Appended "-TL" to standard codes. See email from Paul dated 6/26/2018.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</si>
</sst>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rgb="FF242729"/>
      <name val="Consolas"/>
      <family val="3"/>
    </font>
    <font>
      <b/>
      <sz val="18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7">
    <xf numFmtId="0" fontId="0" fillId="0" borderId="0" xfId="0"/>
    <xf numFmtId="49" fontId="0" fillId="0" borderId="0" xfId="0" applyNumberFormat="1"/>
    <xf numFmtId="0" fontId="21" fillId="0" borderId="0" xfId="0" applyFont="1"/>
    <xf numFmtId="0" fontId="16" fillId="35" borderId="13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0" fillId="0" borderId="14" xfId="0" applyBorder="1"/>
    <xf numFmtId="49" fontId="21" fillId="0" borderId="0" xfId="0" applyNumberFormat="1" applyFont="1"/>
    <xf numFmtId="0" fontId="16" fillId="0" borderId="0" xfId="0" applyFont="1"/>
    <xf numFmtId="14" fontId="16" fillId="0" borderId="0" xfId="0" applyNumberFormat="1" applyFont="1"/>
    <xf numFmtId="49" fontId="16" fillId="0" borderId="0" xfId="0" applyNumberFormat="1" applyFont="1"/>
    <xf numFmtId="0" fontId="26" fillId="0" borderId="0" xfId="0" applyFont="1"/>
    <xf numFmtId="14" fontId="26" fillId="0" borderId="0" xfId="0" applyNumberFormat="1" applyFont="1"/>
    <xf numFmtId="0" fontId="24" fillId="0" borderId="0" xfId="0" applyFont="1" applyAlignment="1">
      <alignment wrapText="1"/>
    </xf>
    <xf numFmtId="0" fontId="24" fillId="0" borderId="0" xfId="0" quotePrefix="1" applyFont="1" applyAlignment="1">
      <alignment wrapText="1"/>
    </xf>
    <xf numFmtId="49" fontId="27" fillId="0" borderId="0" xfId="0" applyNumberFormat="1" applyFont="1" applyAlignment="1">
      <alignment wrapText="1"/>
    </xf>
    <xf numFmtId="0" fontId="0" fillId="0" borderId="0" xfId="0" applyFont="1"/>
    <xf numFmtId="0" fontId="0" fillId="0" borderId="0" xfId="0"/>
    <xf numFmtId="0" fontId="16" fillId="35" borderId="10" xfId="0" applyFont="1" applyFill="1" applyBorder="1" applyAlignment="1">
      <alignment horizontal="center"/>
    </xf>
    <xf numFmtId="0" fontId="16" fillId="36" borderId="10" xfId="0" applyFont="1" applyFill="1" applyBorder="1" applyAlignment="1">
      <alignment horizontal="center"/>
    </xf>
    <xf numFmtId="0" fontId="16" fillId="3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49" fontId="29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1" fillId="39" borderId="11" xfId="0" applyNumberFormat="1" applyFont="1" applyFill="1" applyBorder="1" applyAlignment="1">
      <alignment horizontal="center"/>
    </xf>
    <xf numFmtId="0" fontId="22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16" fillId="39" borderId="10" xfId="0" applyFont="1" applyFill="1" applyBorder="1" applyAlignment="1">
      <alignment horizontal="center" vertical="center"/>
    </xf>
    <xf numFmtId="49" fontId="22" fillId="41" borderId="10" xfId="0" applyNumberFormat="1" applyFont="1" applyFill="1" applyBorder="1" applyAlignment="1">
      <alignment horizontal="center" vertical="center"/>
    </xf>
    <xf numFmtId="0" fontId="16" fillId="37" borderId="10" xfId="0" applyFont="1" applyFill="1" applyBorder="1" applyAlignment="1">
      <alignment horizontal="center" vertical="center"/>
    </xf>
    <xf numFmtId="0" fontId="16" fillId="38" borderId="10" xfId="0" applyFont="1" applyFill="1" applyBorder="1" applyAlignment="1">
      <alignment horizontal="center" vertical="center"/>
    </xf>
    <xf numFmtId="0" fontId="23" fillId="41" borderId="10" xfId="0" applyFont="1" applyFill="1" applyBorder="1" applyAlignment="1">
      <alignment horizontal="center" vertical="center"/>
    </xf>
    <xf numFmtId="0" fontId="16" fillId="41" borderId="10" xfId="0" applyFont="1" applyFill="1" applyBorder="1" applyAlignment="1">
      <alignment horizontal="center" vertical="center"/>
    </xf>
    <xf numFmtId="0" fontId="13" fillId="42" borderId="10" xfId="0" applyFont="1" applyFill="1" applyBorder="1" applyAlignment="1">
      <alignment horizontal="center" vertical="center"/>
    </xf>
    <xf numFmtId="0" fontId="16" fillId="39" borderId="13" xfId="0" applyFont="1" applyFill="1" applyBorder="1" applyAlignment="1">
      <alignment horizontal="center" vertical="center"/>
    </xf>
    <xf numFmtId="49" fontId="22" fillId="39" borderId="13" xfId="0" applyNumberFormat="1" applyFont="1" applyFill="1" applyBorder="1" applyAlignment="1">
      <alignment horizontal="center" vertical="center"/>
    </xf>
    <xf numFmtId="0" fontId="16" fillId="37" borderId="13" xfId="0" applyFont="1" applyFill="1" applyBorder="1" applyAlignment="1">
      <alignment horizontal="center" vertical="center"/>
    </xf>
    <xf numFmtId="0" fontId="16" fillId="38" borderId="13" xfId="0" applyFont="1" applyFill="1" applyBorder="1" applyAlignment="1">
      <alignment horizontal="center" vertical="center"/>
    </xf>
    <xf numFmtId="0" fontId="23" fillId="41" borderId="1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0" fillId="0" borderId="0" xfId="0" applyFont="1" applyAlignment="1"/>
    <xf numFmtId="0" fontId="31" fillId="0" borderId="0" xfId="0" applyFont="1" applyAlignment="1">
      <alignment wrapText="1"/>
    </xf>
    <xf numFmtId="0" fontId="32" fillId="0" borderId="0" xfId="0" applyFont="1" applyAlignment="1"/>
    <xf numFmtId="0" fontId="20" fillId="0" borderId="0" xfId="0" applyFont="1" applyAlignment="1">
      <alignment wrapText="1"/>
    </xf>
    <xf numFmtId="0" fontId="0" fillId="0" borderId="0" xfId="0"/>
    <xf numFmtId="0" fontId="16" fillId="40" borderId="1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wrapText="1"/>
    </xf>
    <xf numFmtId="49" fontId="16" fillId="34" borderId="10" xfId="0" applyNumberFormat="1" applyFont="1" applyFill="1" applyBorder="1" applyAlignment="1">
      <alignment horizontal="center" wrapText="1"/>
    </xf>
    <xf numFmtId="49" fontId="22" fillId="34" borderId="10" xfId="0" applyNumberFormat="1" applyFont="1" applyFill="1" applyBorder="1" applyAlignment="1">
      <alignment horizontal="center" wrapText="1"/>
    </xf>
    <xf numFmtId="0" fontId="22" fillId="41" borderId="10" xfId="0" applyFont="1" applyFill="1" applyBorder="1" applyAlignment="1">
      <alignment horizontal="center" wrapText="1"/>
    </xf>
    <xf numFmtId="0" fontId="16" fillId="41" borderId="10" xfId="0" applyFont="1" applyFill="1" applyBorder="1" applyAlignment="1">
      <alignment horizontal="center" wrapText="1"/>
    </xf>
    <xf numFmtId="0" fontId="23" fillId="41" borderId="10" xfId="0" applyFont="1" applyFill="1" applyBorder="1" applyAlignment="1">
      <alignment horizontal="center" wrapText="1"/>
    </xf>
    <xf numFmtId="49" fontId="16" fillId="41" borderId="10" xfId="0" applyNumberFormat="1" applyFont="1" applyFill="1" applyBorder="1" applyAlignment="1">
      <alignment horizontal="center" wrapText="1"/>
    </xf>
    <xf numFmtId="49" fontId="22" fillId="41" borderId="10" xfId="0" applyNumberFormat="1" applyFont="1" applyFill="1" applyBorder="1" applyAlignment="1">
      <alignment horizontal="center" wrapText="1"/>
    </xf>
    <xf numFmtId="0" fontId="13" fillId="42" borderId="10" xfId="0" applyFont="1" applyFill="1" applyBorder="1" applyAlignment="1">
      <alignment horizontal="center" wrapText="1"/>
    </xf>
    <xf numFmtId="0" fontId="16" fillId="40" borderId="10" xfId="0" applyFont="1" applyFill="1" applyBorder="1" applyAlignment="1">
      <alignment horizontal="center" wrapText="1"/>
    </xf>
    <xf numFmtId="0" fontId="16" fillId="33" borderId="10" xfId="0" applyFont="1" applyFill="1" applyBorder="1" applyAlignment="1">
      <alignment wrapText="1"/>
    </xf>
    <xf numFmtId="0" fontId="16" fillId="34" borderId="10" xfId="0" applyFont="1" applyFill="1" applyBorder="1" applyAlignment="1">
      <alignment horizontal="center" wrapText="1"/>
    </xf>
    <xf numFmtId="49" fontId="13" fillId="42" borderId="10" xfId="0" applyNumberFormat="1" applyFont="1" applyFill="1" applyBorder="1" applyAlignment="1">
      <alignment horizontal="center" wrapText="1"/>
    </xf>
    <xf numFmtId="0" fontId="16" fillId="35" borderId="10" xfId="0" applyFont="1" applyFill="1" applyBorder="1" applyAlignment="1">
      <alignment horizontal="center" wrapText="1"/>
    </xf>
    <xf numFmtId="0" fontId="16" fillId="36" borderId="10" xfId="0" applyFont="1" applyFill="1" applyBorder="1" applyAlignment="1">
      <alignment horizontal="center" wrapText="1"/>
    </xf>
    <xf numFmtId="0" fontId="16" fillId="39" borderId="10" xfId="0" applyFont="1" applyFill="1" applyBorder="1" applyAlignment="1">
      <alignment horizontal="center" wrapText="1"/>
    </xf>
    <xf numFmtId="0" fontId="16" fillId="37" borderId="10" xfId="0" applyFont="1" applyFill="1" applyBorder="1" applyAlignment="1">
      <alignment horizontal="center" wrapText="1"/>
    </xf>
    <xf numFmtId="0" fontId="16" fillId="38" borderId="10" xfId="0" applyFont="1" applyFill="1" applyBorder="1" applyAlignment="1">
      <alignment horizontal="center" wrapText="1"/>
    </xf>
    <xf numFmtId="0" fontId="22" fillId="34" borderId="11" xfId="0" applyNumberFormat="1" applyFont="1" applyFill="1" applyBorder="1" applyAlignment="1">
      <alignment horizontal="center"/>
    </xf>
    <xf numFmtId="0" fontId="0" fillId="0" borderId="0" xfId="0"/>
    <xf numFmtId="0" fontId="33" fillId="0" borderId="0" xfId="0" applyFont="1"/>
    <xf numFmtId="0" fontId="16" fillId="33" borderId="10" xfId="0" applyFont="1" applyFill="1" applyBorder="1"/>
    <xf numFmtId="0" fontId="16" fillId="34" borderId="10" xfId="0" applyFont="1" applyFill="1" applyBorder="1" applyAlignment="1">
      <alignment horizontal="center"/>
    </xf>
    <xf numFmtId="0" fontId="16" fillId="35" borderId="10" xfId="0" applyFont="1" applyFill="1" applyBorder="1" applyAlignment="1">
      <alignment horizontal="center"/>
    </xf>
    <xf numFmtId="0" fontId="16" fillId="36" borderId="10" xfId="0" applyFont="1" applyFill="1" applyBorder="1" applyAlignment="1">
      <alignment horizontal="center"/>
    </xf>
    <xf numFmtId="0" fontId="16" fillId="37" borderId="10" xfId="0" applyFont="1" applyFill="1" applyBorder="1" applyAlignment="1">
      <alignment horizontal="center"/>
    </xf>
    <xf numFmtId="0" fontId="16" fillId="38" borderId="10" xfId="0" applyFont="1" applyFill="1" applyBorder="1" applyAlignment="1">
      <alignment horizontal="center"/>
    </xf>
    <xf numFmtId="0" fontId="16" fillId="33" borderId="0" xfId="0" applyFont="1" applyFill="1"/>
    <xf numFmtId="49" fontId="16" fillId="34" borderId="10" xfId="0" applyNumberFormat="1" applyFont="1" applyFill="1" applyBorder="1" applyAlignment="1">
      <alignment horizontal="center"/>
    </xf>
    <xf numFmtId="0" fontId="16" fillId="39" borderId="10" xfId="0" applyFont="1" applyFill="1" applyBorder="1" applyAlignment="1">
      <alignment horizontal="center"/>
    </xf>
    <xf numFmtId="0" fontId="16" fillId="40" borderId="10" xfId="0" applyFont="1" applyFill="1" applyBorder="1" applyAlignment="1">
      <alignment horizontal="center"/>
    </xf>
    <xf numFmtId="0" fontId="16" fillId="33" borderId="13" xfId="0" applyFont="1" applyFill="1" applyBorder="1"/>
    <xf numFmtId="0" fontId="16" fillId="34" borderId="13" xfId="0" applyFont="1" applyFill="1" applyBorder="1" applyAlignment="1">
      <alignment horizontal="center"/>
    </xf>
    <xf numFmtId="49" fontId="16" fillId="34" borderId="13" xfId="0" applyNumberFormat="1" applyFont="1" applyFill="1" applyBorder="1" applyAlignment="1">
      <alignment horizontal="center"/>
    </xf>
    <xf numFmtId="0" fontId="16" fillId="35" borderId="13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9" borderId="13" xfId="0" applyFont="1" applyFill="1" applyBorder="1" applyAlignment="1">
      <alignment horizontal="center"/>
    </xf>
    <xf numFmtId="0" fontId="16" fillId="40" borderId="13" xfId="0" applyFont="1" applyFill="1" applyBorder="1" applyAlignment="1">
      <alignment horizontal="center"/>
    </xf>
    <xf numFmtId="0" fontId="16" fillId="37" borderId="13" xfId="0" applyFont="1" applyFill="1" applyBorder="1" applyAlignment="1">
      <alignment horizontal="center"/>
    </xf>
    <xf numFmtId="0" fontId="16" fillId="38" borderId="13" xfId="0" applyFont="1" applyFill="1" applyBorder="1" applyAlignment="1">
      <alignment horizontal="center"/>
    </xf>
    <xf numFmtId="49" fontId="22" fillId="39" borderId="13" xfId="0" applyNumberFormat="1" applyFont="1" applyFill="1" applyBorder="1" applyAlignment="1">
      <alignment horizontal="center"/>
    </xf>
    <xf numFmtId="49" fontId="16" fillId="39" borderId="13" xfId="0" applyNumberFormat="1" applyFont="1" applyFill="1" applyBorder="1" applyAlignment="1">
      <alignment horizontal="center"/>
    </xf>
    <xf numFmtId="0" fontId="16" fillId="41" borderId="10" xfId="0" applyFont="1" applyFill="1" applyBorder="1" applyAlignment="1">
      <alignment horizontal="center"/>
    </xf>
    <xf numFmtId="49" fontId="16" fillId="41" borderId="10" xfId="0" applyNumberFormat="1" applyFont="1" applyFill="1" applyBorder="1" applyAlignment="1">
      <alignment horizontal="center"/>
    </xf>
    <xf numFmtId="49" fontId="22" fillId="40" borderId="13" xfId="0" applyNumberFormat="1" applyFont="1" applyFill="1" applyBorder="1" applyAlignment="1">
      <alignment horizontal="center"/>
    </xf>
    <xf numFmtId="0" fontId="22" fillId="41" borderId="10" xfId="0" applyFont="1" applyFill="1" applyBorder="1" applyAlignment="1">
      <alignment horizontal="center"/>
    </xf>
    <xf numFmtId="49" fontId="22" fillId="41" borderId="10" xfId="0" applyNumberFormat="1" applyFont="1" applyFill="1" applyBorder="1" applyAlignment="1">
      <alignment horizontal="center"/>
    </xf>
    <xf numFmtId="0" fontId="23" fillId="41" borderId="10" xfId="0" applyFont="1" applyFill="1" applyBorder="1" applyAlignment="1">
      <alignment horizontal="center"/>
    </xf>
    <xf numFmtId="0" fontId="23" fillId="41" borderId="13" xfId="0" applyFont="1" applyFill="1" applyBorder="1" applyAlignment="1">
      <alignment horizontal="center"/>
    </xf>
    <xf numFmtId="0" fontId="16" fillId="34" borderId="11" xfId="0" applyFont="1" applyFill="1" applyBorder="1" applyAlignment="1">
      <alignment horizontal="center"/>
    </xf>
    <xf numFmtId="0" fontId="0" fillId="39" borderId="12" xfId="0" applyFill="1" applyBorder="1" applyAlignment="1">
      <alignment horizontal="center"/>
    </xf>
    <xf numFmtId="0" fontId="0" fillId="40" borderId="12" xfId="0" applyFill="1" applyBorder="1" applyAlignment="1">
      <alignment horizontal="center"/>
    </xf>
    <xf numFmtId="0" fontId="16" fillId="40" borderId="12" xfId="0" applyFont="1" applyFill="1" applyBorder="1" applyAlignment="1">
      <alignment horizontal="center"/>
    </xf>
    <xf numFmtId="0" fontId="0" fillId="0" borderId="10" xfId="0" applyBorder="1"/>
    <xf numFmtId="0" fontId="21" fillId="40" borderId="11" xfId="0" applyFont="1" applyFill="1" applyBorder="1" applyAlignment="1">
      <alignment horizontal="center"/>
    </xf>
    <xf numFmtId="0" fontId="0" fillId="39" borderId="10" xfId="0" applyFill="1" applyBorder="1" applyAlignment="1">
      <alignment horizontal="center"/>
    </xf>
    <xf numFmtId="49" fontId="0" fillId="39" borderId="10" xfId="0" applyNumberFormat="1" applyFill="1" applyBorder="1" applyAlignment="1">
      <alignment horizontal="center"/>
    </xf>
    <xf numFmtId="0" fontId="0" fillId="40" borderId="10" xfId="0" applyFill="1" applyBorder="1" applyAlignment="1">
      <alignment horizontal="center"/>
    </xf>
    <xf numFmtId="49" fontId="21" fillId="39" borderId="10" xfId="0" applyNumberFormat="1" applyFont="1" applyFill="1" applyBorder="1" applyAlignment="1">
      <alignment horizontal="center"/>
    </xf>
    <xf numFmtId="49" fontId="16" fillId="34" borderId="11" xfId="0" applyNumberFormat="1" applyFont="1" applyFill="1" applyBorder="1" applyAlignment="1">
      <alignment horizontal="center"/>
    </xf>
    <xf numFmtId="0" fontId="0" fillId="40" borderId="11" xfId="0" applyFill="1" applyBorder="1" applyAlignment="1">
      <alignment horizontal="center"/>
    </xf>
    <xf numFmtId="0" fontId="16" fillId="37" borderId="11" xfId="0" applyFont="1" applyFill="1" applyBorder="1" applyAlignment="1">
      <alignment horizontal="center"/>
    </xf>
    <xf numFmtId="0" fontId="16" fillId="33" borderId="11" xfId="0" applyFont="1" applyFill="1" applyBorder="1"/>
    <xf numFmtId="0" fontId="16" fillId="38" borderId="11" xfId="0" applyFont="1" applyFill="1" applyBorder="1" applyAlignment="1">
      <alignment horizontal="center"/>
    </xf>
    <xf numFmtId="0" fontId="23" fillId="40" borderId="11" xfId="0" applyFont="1" applyFill="1" applyBorder="1" applyAlignment="1">
      <alignment horizontal="center"/>
    </xf>
    <xf numFmtId="0" fontId="23" fillId="40" borderId="10" xfId="0" applyFont="1" applyFill="1" applyBorder="1" applyAlignment="1">
      <alignment horizontal="center"/>
    </xf>
    <xf numFmtId="0" fontId="13" fillId="42" borderId="10" xfId="0" applyFont="1" applyFill="1" applyBorder="1" applyAlignment="1">
      <alignment horizontal="center"/>
    </xf>
    <xf numFmtId="0" fontId="25" fillId="42" borderId="13" xfId="0" applyFont="1" applyFill="1" applyBorder="1" applyAlignment="1">
      <alignment horizontal="center"/>
    </xf>
    <xf numFmtId="49" fontId="13" fillId="42" borderId="10" xfId="0" applyNumberFormat="1" applyFont="1" applyFill="1" applyBorder="1" applyAlignment="1">
      <alignment horizontal="center"/>
    </xf>
    <xf numFmtId="49" fontId="13" fillId="42" borderId="1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49" fontId="22" fillId="34" borderId="10" xfId="0" applyNumberFormat="1" applyFont="1" applyFill="1" applyBorder="1" applyAlignment="1">
      <alignment horizontal="center"/>
    </xf>
    <xf numFmtId="49" fontId="22" fillId="34" borderId="13" xfId="0" applyNumberFormat="1" applyFont="1" applyFill="1" applyBorder="1" applyAlignment="1">
      <alignment horizontal="center"/>
    </xf>
    <xf numFmtId="0" fontId="0" fillId="39" borderId="11" xfId="0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0" fillId="0" borderId="0" xfId="0"/>
    <xf numFmtId="0" fontId="21" fillId="0" borderId="0" xfId="0" applyFont="1" applyAlignment="1">
      <alignment horizontal="center" vertical="center"/>
    </xf>
    <xf numFmtId="0" fontId="16" fillId="33" borderId="13" xfId="0" applyFont="1" applyFill="1" applyBorder="1" applyAlignment="1">
      <alignment wrapText="1"/>
    </xf>
    <xf numFmtId="0" fontId="16" fillId="34" borderId="13" xfId="0" applyFont="1" applyFill="1" applyBorder="1" applyAlignment="1">
      <alignment horizontal="center" wrapText="1"/>
    </xf>
    <xf numFmtId="49" fontId="16" fillId="34" borderId="13" xfId="0" applyNumberFormat="1" applyFont="1" applyFill="1" applyBorder="1" applyAlignment="1">
      <alignment horizontal="center" wrapText="1"/>
    </xf>
    <xf numFmtId="49" fontId="13" fillId="42" borderId="13" xfId="0" applyNumberFormat="1" applyFont="1" applyFill="1" applyBorder="1" applyAlignment="1">
      <alignment horizontal="center" wrapText="1"/>
    </xf>
    <xf numFmtId="0" fontId="16" fillId="35" borderId="13" xfId="0" applyFont="1" applyFill="1" applyBorder="1" applyAlignment="1">
      <alignment horizontal="center" wrapText="1"/>
    </xf>
    <xf numFmtId="0" fontId="16" fillId="36" borderId="13" xfId="0" applyFont="1" applyFill="1" applyBorder="1" applyAlignment="1">
      <alignment horizontal="center" wrapText="1"/>
    </xf>
    <xf numFmtId="0" fontId="16" fillId="39" borderId="13" xfId="0" applyFont="1" applyFill="1" applyBorder="1" applyAlignment="1">
      <alignment horizontal="center" wrapText="1"/>
    </xf>
    <xf numFmtId="49" fontId="16" fillId="39" borderId="13" xfId="0" applyNumberFormat="1" applyFont="1" applyFill="1" applyBorder="1" applyAlignment="1">
      <alignment horizontal="center" wrapText="1"/>
    </xf>
    <xf numFmtId="49" fontId="22" fillId="39" borderId="13" xfId="0" applyNumberFormat="1" applyFont="1" applyFill="1" applyBorder="1" applyAlignment="1">
      <alignment horizontal="center" wrapText="1"/>
    </xf>
    <xf numFmtId="0" fontId="16" fillId="37" borderId="13" xfId="0" applyFont="1" applyFill="1" applyBorder="1" applyAlignment="1">
      <alignment horizontal="center" wrapText="1"/>
    </xf>
    <xf numFmtId="0" fontId="16" fillId="38" borderId="13" xfId="0" applyFont="1" applyFill="1" applyBorder="1" applyAlignment="1">
      <alignment horizontal="center" wrapText="1"/>
    </xf>
    <xf numFmtId="0" fontId="23" fillId="41" borderId="13" xfId="0" applyFont="1" applyFill="1" applyBorder="1" applyAlignment="1">
      <alignment horizontal="center" wrapText="1"/>
    </xf>
    <xf numFmtId="0" fontId="25" fillId="42" borderId="13" xfId="0" applyFont="1" applyFill="1" applyBorder="1" applyAlignment="1">
      <alignment horizontal="center" wrapText="1"/>
    </xf>
    <xf numFmtId="0" fontId="16" fillId="40" borderId="13" xfId="0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4" fillId="0" borderId="0" xfId="0" applyFont="1"/>
    <xf numFmtId="0" fontId="16" fillId="35" borderId="11" xfId="0" applyFont="1" applyFill="1" applyBorder="1" applyAlignment="1">
      <alignment horizontal="center"/>
    </xf>
    <xf numFmtId="0" fontId="0" fillId="39" borderId="11" xfId="0" applyFill="1" applyBorder="1" applyAlignment="1">
      <alignment horizontal="center"/>
    </xf>
    <xf numFmtId="0" fontId="16" fillId="33" borderId="0" xfId="0" applyFont="1" applyFill="1" applyBorder="1"/>
    <xf numFmtId="0" fontId="16" fillId="34" borderId="0" xfId="0" applyFont="1" applyFill="1" applyBorder="1" applyAlignment="1">
      <alignment horizontal="center"/>
    </xf>
    <xf numFmtId="49" fontId="16" fillId="34" borderId="0" xfId="0" applyNumberFormat="1" applyFont="1" applyFill="1" applyBorder="1" applyAlignment="1">
      <alignment horizontal="center"/>
    </xf>
    <xf numFmtId="49" fontId="22" fillId="34" borderId="0" xfId="0" applyNumberFormat="1" applyFont="1" applyFill="1" applyBorder="1" applyAlignment="1">
      <alignment horizontal="center"/>
    </xf>
    <xf numFmtId="0" fontId="16" fillId="35" borderId="0" xfId="0" applyFont="1" applyFill="1" applyBorder="1" applyAlignment="1">
      <alignment horizontal="center"/>
    </xf>
    <xf numFmtId="0" fontId="16" fillId="36" borderId="0" xfId="0" applyFont="1" applyFill="1" applyBorder="1" applyAlignment="1">
      <alignment horizontal="center"/>
    </xf>
    <xf numFmtId="0" fontId="16" fillId="39" borderId="0" xfId="0" applyFont="1" applyFill="1" applyBorder="1" applyAlignment="1">
      <alignment horizontal="center"/>
    </xf>
    <xf numFmtId="0" fontId="0" fillId="39" borderId="0" xfId="0" applyFill="1" applyBorder="1" applyAlignment="1">
      <alignment horizontal="center"/>
    </xf>
    <xf numFmtId="49" fontId="0" fillId="39" borderId="0" xfId="0" applyNumberFormat="1" applyFill="1" applyBorder="1" applyAlignment="1">
      <alignment horizontal="center"/>
    </xf>
    <xf numFmtId="49" fontId="21" fillId="39" borderId="0" xfId="0" applyNumberFormat="1" applyFont="1" applyFill="1" applyBorder="1" applyAlignment="1">
      <alignment horizontal="center"/>
    </xf>
    <xf numFmtId="0" fontId="16" fillId="37" borderId="0" xfId="0" applyFont="1" applyFill="1" applyBorder="1" applyAlignment="1">
      <alignment horizontal="center"/>
    </xf>
    <xf numFmtId="0" fontId="16" fillId="38" borderId="0" xfId="0" applyFont="1" applyFill="1" applyBorder="1" applyAlignment="1">
      <alignment horizontal="center"/>
    </xf>
    <xf numFmtId="0" fontId="0" fillId="0" borderId="0" xfId="0" applyBorder="1"/>
    <xf numFmtId="0" fontId="0" fillId="40" borderId="0" xfId="0" applyFill="1" applyBorder="1" applyAlignment="1">
      <alignment horizontal="center"/>
    </xf>
    <xf numFmtId="0" fontId="23" fillId="40" borderId="0" xfId="0" applyFont="1" applyFill="1" applyBorder="1" applyAlignment="1">
      <alignment horizontal="center"/>
    </xf>
    <xf numFmtId="0" fontId="16" fillId="40" borderId="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34" borderId="0" xfId="0" applyNumberFormat="1" applyFont="1" applyFill="1" applyBorder="1" applyAlignment="1">
      <alignment horizontal="center"/>
    </xf>
    <xf numFmtId="49" fontId="16" fillId="35" borderId="0" xfId="0" applyNumberFormat="1" applyFont="1" applyFill="1" applyBorder="1" applyAlignment="1">
      <alignment horizontal="center"/>
    </xf>
    <xf numFmtId="49" fontId="16" fillId="36" borderId="0" xfId="0" applyNumberFormat="1" applyFont="1" applyFill="1" applyBorder="1" applyAlignment="1">
      <alignment horizontal="center"/>
    </xf>
    <xf numFmtId="0" fontId="16" fillId="40" borderId="15" xfId="0" applyFont="1" applyFill="1" applyBorder="1" applyAlignment="1">
      <alignment horizontal="center"/>
    </xf>
    <xf numFmtId="0" fontId="16" fillId="34" borderId="10" xfId="0" applyFont="1" applyFill="1" applyBorder="1" applyAlignment="1">
      <alignment horizontal="center"/>
    </xf>
    <xf numFmtId="0" fontId="16" fillId="41" borderId="10" xfId="0" applyFont="1" applyFill="1" applyBorder="1" applyAlignment="1">
      <alignment horizontal="center"/>
    </xf>
    <xf numFmtId="0" fontId="16" fillId="34" borderId="11" xfId="0" applyFont="1" applyFill="1" applyBorder="1" applyAlignment="1">
      <alignment horizontal="center"/>
    </xf>
    <xf numFmtId="14" fontId="26" fillId="0" borderId="0" xfId="0" applyNumberFormat="1" applyFont="1"/>
    <xf numFmtId="0" fontId="0" fillId="0" borderId="0" xfId="0" applyBorder="1"/>
    <xf numFmtId="0" fontId="16" fillId="33" borderId="0" xfId="0" applyFont="1" applyFill="1" applyBorder="1"/>
    <xf numFmtId="0" fontId="16" fillId="34" borderId="0" xfId="0" applyFont="1" applyFill="1" applyBorder="1" applyAlignment="1">
      <alignment horizontal="center"/>
    </xf>
    <xf numFmtId="49" fontId="16" fillId="34" borderId="0" xfId="0" applyNumberFormat="1" applyFont="1" applyFill="1" applyBorder="1" applyAlignment="1">
      <alignment horizontal="center"/>
    </xf>
    <xf numFmtId="49" fontId="22" fillId="34" borderId="0" xfId="0" applyNumberFormat="1" applyFont="1" applyFill="1" applyBorder="1" applyAlignment="1">
      <alignment horizontal="center"/>
    </xf>
    <xf numFmtId="0" fontId="16" fillId="39" borderId="0" xfId="0" applyFont="1" applyFill="1" applyBorder="1" applyAlignment="1">
      <alignment horizontal="center"/>
    </xf>
    <xf numFmtId="0" fontId="0" fillId="39" borderId="0" xfId="0" applyFill="1" applyBorder="1" applyAlignment="1">
      <alignment horizontal="center"/>
    </xf>
    <xf numFmtId="49" fontId="0" fillId="39" borderId="0" xfId="0" applyNumberFormat="1" applyFill="1" applyBorder="1" applyAlignment="1">
      <alignment horizontal="center"/>
    </xf>
    <xf numFmtId="49" fontId="21" fillId="39" borderId="0" xfId="0" applyNumberFormat="1" applyFont="1" applyFill="1" applyBorder="1" applyAlignment="1">
      <alignment horizontal="center"/>
    </xf>
    <xf numFmtId="0" fontId="16" fillId="37" borderId="0" xfId="0" applyFont="1" applyFill="1" applyBorder="1" applyAlignment="1">
      <alignment horizontal="center"/>
    </xf>
    <xf numFmtId="0" fontId="16" fillId="38" borderId="0" xfId="0" applyFont="1" applyFill="1" applyBorder="1" applyAlignment="1">
      <alignment horizontal="center"/>
    </xf>
    <xf numFmtId="0" fontId="21" fillId="40" borderId="0" xfId="0" applyFont="1" applyFill="1" applyBorder="1" applyAlignment="1">
      <alignment horizontal="center"/>
    </xf>
    <xf numFmtId="2" fontId="0" fillId="0" borderId="0" xfId="0" applyNumberFormat="1" applyFont="1"/>
    <xf numFmtId="0" fontId="21" fillId="41" borderId="11" xfId="0" applyFont="1" applyFill="1" applyBorder="1" applyAlignment="1">
      <alignment horizontal="center"/>
    </xf>
    <xf numFmtId="0" fontId="16" fillId="41" borderId="0" xfId="0" applyFont="1" applyFill="1" applyBorder="1"/>
    <xf numFmtId="0" fontId="16" fillId="41" borderId="0" xfId="0" applyFont="1" applyFill="1" applyBorder="1" applyAlignment="1">
      <alignment horizontal="center"/>
    </xf>
    <xf numFmtId="49" fontId="16" fillId="41" borderId="0" xfId="0" applyNumberFormat="1" applyFont="1" applyFill="1" applyBorder="1" applyAlignment="1">
      <alignment horizontal="center"/>
    </xf>
    <xf numFmtId="49" fontId="22" fillId="41" borderId="0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49" fontId="0" fillId="41" borderId="0" xfId="0" applyNumberFormat="1" applyFill="1" applyBorder="1" applyAlignment="1">
      <alignment horizontal="center"/>
    </xf>
    <xf numFmtId="49" fontId="21" fillId="41" borderId="0" xfId="0" applyNumberFormat="1" applyFont="1" applyFill="1" applyBorder="1" applyAlignment="1">
      <alignment horizontal="center"/>
    </xf>
    <xf numFmtId="0" fontId="23" fillId="41" borderId="0" xfId="0" applyFont="1" applyFill="1" applyBorder="1" applyAlignment="1">
      <alignment horizontal="center"/>
    </xf>
    <xf numFmtId="0" fontId="0" fillId="41" borderId="0" xfId="0" applyFill="1" applyBorder="1"/>
    <xf numFmtId="0" fontId="21" fillId="0" borderId="0" xfId="0" applyFont="1" applyAlignment="1">
      <alignment horizontal="center" vertical="center"/>
    </xf>
    <xf numFmtId="0" fontId="16" fillId="34" borderId="16" xfId="0" applyFont="1" applyFill="1" applyBorder="1" applyAlignment="1">
      <alignment horizontal="center"/>
    </xf>
    <xf numFmtId="0" fontId="16" fillId="34" borderId="17" xfId="0" applyFont="1" applyFill="1" applyBorder="1" applyAlignment="1">
      <alignment horizontal="center"/>
    </xf>
    <xf numFmtId="0" fontId="16" fillId="34" borderId="18" xfId="0" applyFont="1" applyFill="1" applyBorder="1" applyAlignment="1">
      <alignment horizontal="center"/>
    </xf>
    <xf numFmtId="0" fontId="16" fillId="34" borderId="16" xfId="0" applyFont="1" applyFill="1" applyBorder="1" applyAlignment="1">
      <alignment horizontal="center" wrapText="1"/>
    </xf>
    <xf numFmtId="0" fontId="16" fillId="34" borderId="17" xfId="0" applyFont="1" applyFill="1" applyBorder="1" applyAlignment="1">
      <alignment horizontal="center" wrapText="1"/>
    </xf>
    <xf numFmtId="0" fontId="16" fillId="34" borderId="18" xfId="0" applyFont="1" applyFill="1" applyBorder="1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2</xdr:row>
          <xdr:rowOff>47625</xdr:rowOff>
        </xdr:from>
        <xdr:to>
          <xdr:col>9</xdr:col>
          <xdr:colOff>228600</xdr:colOff>
          <xdr:row>3</xdr:row>
          <xdr:rowOff>104775</xdr:rowOff>
        </xdr:to>
        <xdr:sp macro="" textlink="">
          <xdr:nvSpPr>
            <xdr:cNvPr id="20481" name="CheckDuplication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17</xdr:row>
          <xdr:rowOff>19050</xdr:rowOff>
        </xdr:from>
        <xdr:to>
          <xdr:col>2</xdr:col>
          <xdr:colOff>447675</xdr:colOff>
          <xdr:row>19</xdr:row>
          <xdr:rowOff>57150</xdr:rowOff>
        </xdr:to>
        <xdr:sp macro="" textlink="">
          <xdr:nvSpPr>
            <xdr:cNvPr id="20482" name="CopyHCodeFeatureTrim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0</xdr:rowOff>
        </xdr:from>
        <xdr:to>
          <xdr:col>8</xdr:col>
          <xdr:colOff>104775</xdr:colOff>
          <xdr:row>20</xdr:row>
          <xdr:rowOff>9525</xdr:rowOff>
        </xdr:to>
        <xdr:sp macro="" textlink="">
          <xdr:nvSpPr>
            <xdr:cNvPr id="20526" name="OpenFeatureGUI" hidden="1">
              <a:extLst>
                <a:ext uri="{63B3BB69-23CF-44E3-9099-C40C66FF867C}">
                  <a14:compatExt spid="_x0000_s20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O64"/>
  <sheetViews>
    <sheetView zoomScale="90" zoomScaleNormal="90" workbookViewId="0">
      <pane xSplit="10" ySplit="13" topLeftCell="K14" activePane="bottomRight" state="frozen"/>
      <selection pane="topRight" activeCell="K1" sqref="K1"/>
      <selection pane="bottomLeft" activeCell="A14" sqref="A14"/>
      <selection pane="bottomRight" activeCell="A40" sqref="A40"/>
    </sheetView>
  </sheetViews>
  <sheetFormatPr defaultColWidth="9.140625" defaultRowHeight="15" x14ac:dyDescent="0.25"/>
  <cols>
    <col min="1" max="1" width="14.42578125" style="16" bestFit="1" customWidth="1"/>
    <col min="2" max="2" width="21.85546875" style="16" customWidth="1"/>
    <col min="3" max="5" width="15.28515625" style="16" customWidth="1"/>
    <col min="6" max="7" width="10.140625" style="1" customWidth="1"/>
    <col min="8" max="8" width="11.7109375" style="1" bestFit="1" customWidth="1"/>
    <col min="9" max="9" width="10.140625" style="6" customWidth="1"/>
    <col min="10" max="10" width="9.140625" style="6" customWidth="1"/>
    <col min="11" max="11" width="8.7109375" style="16" bestFit="1" customWidth="1"/>
    <col min="12" max="12" width="8" style="16" bestFit="1" customWidth="1"/>
    <col min="13" max="13" width="4.85546875" style="16" customWidth="1"/>
    <col min="14" max="14" width="10.28515625" style="16" bestFit="1" customWidth="1"/>
    <col min="15" max="15" width="5.42578125" style="16" customWidth="1"/>
    <col min="16" max="16" width="7" style="16" bestFit="1" customWidth="1"/>
    <col min="17" max="17" width="7.28515625" style="16" customWidth="1"/>
    <col min="18" max="18" width="10" style="16" customWidth="1"/>
    <col min="19" max="19" width="6.7109375" style="16" customWidth="1"/>
    <col min="20" max="20" width="8.7109375" style="16" bestFit="1" customWidth="1"/>
    <col min="21" max="21" width="6.85546875" style="16" customWidth="1"/>
    <col min="22" max="22" width="9.7109375" style="16" bestFit="1" customWidth="1"/>
    <col min="23" max="23" width="7.5703125" style="16" customWidth="1"/>
    <col min="24" max="24" width="8.7109375" style="16" bestFit="1" customWidth="1"/>
    <col min="25" max="25" width="13" style="16" bestFit="1" customWidth="1"/>
    <col min="26" max="26" width="8.5703125" style="16" customWidth="1"/>
    <col min="27" max="27" width="9.28515625" style="16" bestFit="1" customWidth="1"/>
    <col min="28" max="28" width="10.7109375" style="16" bestFit="1" customWidth="1"/>
    <col min="29" max="29" width="8.85546875" style="16" bestFit="1" customWidth="1"/>
    <col min="30" max="30" width="9.85546875" style="1" bestFit="1" customWidth="1"/>
    <col min="31" max="31" width="13.5703125" style="16" bestFit="1" customWidth="1"/>
    <col min="32" max="32" width="4.28515625" style="1" customWidth="1"/>
    <col min="33" max="33" width="8.85546875" style="16" bestFit="1" customWidth="1"/>
    <col min="34" max="34" width="9.140625" style="16" bestFit="1" customWidth="1"/>
    <col min="35" max="35" width="11" style="16" customWidth="1"/>
    <col min="36" max="36" width="6.42578125" style="16" customWidth="1"/>
    <col min="37" max="37" width="6.85546875" style="16" customWidth="1"/>
    <col min="38" max="38" width="12" style="16" customWidth="1"/>
    <col min="39" max="39" width="8.140625" style="16" customWidth="1"/>
    <col min="40" max="40" width="7.5703125" style="16" customWidth="1"/>
    <col min="41" max="41" width="6.85546875" style="16" bestFit="1" customWidth="1"/>
    <col min="42" max="42" width="8.7109375" style="16" customWidth="1"/>
    <col min="43" max="43" width="3.42578125" style="16" customWidth="1"/>
    <col min="44" max="53" width="10.7109375" style="16" bestFit="1" customWidth="1"/>
    <col min="54" max="143" width="11.85546875" style="16" bestFit="1" customWidth="1"/>
    <col min="144" max="171" width="13" style="16" bestFit="1" customWidth="1"/>
    <col min="172" max="16384" width="9.140625" style="16"/>
  </cols>
  <sheetData>
    <row r="1" spans="1:171" ht="14.45" x14ac:dyDescent="0.3">
      <c r="A1" s="16" t="s">
        <v>0</v>
      </c>
      <c r="B1" s="7" t="s">
        <v>65</v>
      </c>
      <c r="C1" s="7"/>
      <c r="D1" s="7"/>
      <c r="E1" s="7"/>
    </row>
    <row r="2" spans="1:171" ht="14.45" x14ac:dyDescent="0.3">
      <c r="A2" s="16" t="s">
        <v>1</v>
      </c>
      <c r="B2" s="9" t="s">
        <v>465</v>
      </c>
      <c r="C2" s="9"/>
      <c r="D2" s="9"/>
      <c r="E2" s="9"/>
    </row>
    <row r="3" spans="1:171" ht="14.45" x14ac:dyDescent="0.3">
      <c r="A3" s="16" t="s">
        <v>2</v>
      </c>
      <c r="B3" s="8">
        <v>43277</v>
      </c>
      <c r="C3" s="8"/>
      <c r="D3" s="8"/>
      <c r="E3" s="8"/>
    </row>
    <row r="4" spans="1:171" ht="14.45" x14ac:dyDescent="0.3">
      <c r="B4" s="16">
        <v>3</v>
      </c>
    </row>
    <row r="5" spans="1:171" ht="14.45" x14ac:dyDescent="0.3">
      <c r="A5" s="16" t="s">
        <v>3</v>
      </c>
      <c r="B5" s="16" t="s">
        <v>4</v>
      </c>
    </row>
    <row r="6" spans="1:171" ht="14.45" x14ac:dyDescent="0.3">
      <c r="A6" s="16" t="s">
        <v>3</v>
      </c>
      <c r="B6" s="16" t="s">
        <v>5</v>
      </c>
    </row>
    <row r="7" spans="1:171" ht="14.45" x14ac:dyDescent="0.3">
      <c r="A7" s="16" t="s">
        <v>3</v>
      </c>
      <c r="B7" s="16" t="s">
        <v>6</v>
      </c>
    </row>
    <row r="8" spans="1:171" ht="14.45" x14ac:dyDescent="0.3">
      <c r="A8" s="16" t="s">
        <v>3</v>
      </c>
      <c r="B8" s="16" t="s">
        <v>7</v>
      </c>
    </row>
    <row r="9" spans="1:171" ht="14.45" x14ac:dyDescent="0.3">
      <c r="A9" s="16" t="s">
        <v>3</v>
      </c>
      <c r="B9" s="16" t="s">
        <v>8</v>
      </c>
    </row>
    <row r="11" spans="1:171" ht="15" customHeight="1" x14ac:dyDescent="0.3">
      <c r="A11" s="70" t="s">
        <v>9</v>
      </c>
      <c r="B11" s="71">
        <v>1</v>
      </c>
      <c r="C11" s="71"/>
      <c r="D11" s="71"/>
      <c r="E11" s="71"/>
      <c r="F11" s="77" t="s">
        <v>33</v>
      </c>
      <c r="G11" s="77" t="s">
        <v>34</v>
      </c>
      <c r="H11" s="77"/>
      <c r="I11" s="122"/>
      <c r="J11" s="122"/>
      <c r="K11" s="72">
        <v>4</v>
      </c>
      <c r="L11" s="73">
        <v>6</v>
      </c>
      <c r="M11" s="78">
        <v>7</v>
      </c>
      <c r="N11" s="78">
        <v>8</v>
      </c>
      <c r="O11" s="78">
        <v>9</v>
      </c>
      <c r="P11" s="78">
        <v>10</v>
      </c>
      <c r="Q11" s="78">
        <v>11</v>
      </c>
      <c r="R11" s="78">
        <v>12</v>
      </c>
      <c r="S11" s="78">
        <v>13</v>
      </c>
      <c r="T11" s="78">
        <v>14</v>
      </c>
      <c r="U11" s="78">
        <v>15</v>
      </c>
      <c r="V11" s="78">
        <v>16</v>
      </c>
      <c r="W11" s="78">
        <v>17</v>
      </c>
      <c r="X11" s="78">
        <v>18</v>
      </c>
      <c r="Y11" s="78">
        <v>19</v>
      </c>
      <c r="Z11" s="78">
        <v>20</v>
      </c>
      <c r="AA11" s="78">
        <v>21</v>
      </c>
      <c r="AB11" s="78">
        <v>22</v>
      </c>
      <c r="AC11" s="78">
        <v>23</v>
      </c>
      <c r="AD11" s="78">
        <v>24</v>
      </c>
      <c r="AE11" s="78">
        <v>25</v>
      </c>
      <c r="AF11" s="78">
        <v>26</v>
      </c>
      <c r="AG11" s="74">
        <v>27</v>
      </c>
      <c r="AH11" s="75">
        <v>28</v>
      </c>
      <c r="AI11" s="96">
        <v>29</v>
      </c>
      <c r="AJ11" s="91">
        <v>30</v>
      </c>
      <c r="AK11" s="96">
        <v>31</v>
      </c>
      <c r="AL11" s="96">
        <v>32</v>
      </c>
      <c r="AM11" s="99">
        <v>33</v>
      </c>
      <c r="AN11" s="99">
        <v>34</v>
      </c>
      <c r="AO11" s="100">
        <v>35</v>
      </c>
      <c r="AP11" s="114">
        <v>41</v>
      </c>
      <c r="AQ11" s="101">
        <v>46</v>
      </c>
      <c r="AR11" s="68"/>
      <c r="AS11" s="68"/>
      <c r="AT11" s="68"/>
      <c r="AU11" s="68"/>
      <c r="AV11" s="68"/>
    </row>
    <row r="12" spans="1:171" ht="14.45" x14ac:dyDescent="0.3">
      <c r="A12" s="70" t="s">
        <v>10</v>
      </c>
      <c r="B12" s="71" t="s">
        <v>11</v>
      </c>
      <c r="C12" s="198" t="s">
        <v>31</v>
      </c>
      <c r="D12" s="199"/>
      <c r="E12" s="200"/>
      <c r="F12" s="77" t="s">
        <v>31</v>
      </c>
      <c r="G12" s="77" t="s">
        <v>52</v>
      </c>
      <c r="H12" s="117" t="s">
        <v>70</v>
      </c>
      <c r="I12" s="122" t="s">
        <v>76</v>
      </c>
      <c r="J12" s="122" t="s">
        <v>75</v>
      </c>
      <c r="K12" s="72" t="s">
        <v>12</v>
      </c>
      <c r="L12" s="73" t="s">
        <v>13</v>
      </c>
      <c r="M12" s="78" t="s">
        <v>18</v>
      </c>
      <c r="N12" s="78" t="s">
        <v>16</v>
      </c>
      <c r="O12" s="78" t="s">
        <v>72</v>
      </c>
      <c r="P12" s="78" t="s">
        <v>14</v>
      </c>
      <c r="Q12" s="94" t="s">
        <v>35</v>
      </c>
      <c r="R12" s="91" t="s">
        <v>36</v>
      </c>
      <c r="S12" s="94" t="s">
        <v>55</v>
      </c>
      <c r="T12" s="91" t="s">
        <v>37</v>
      </c>
      <c r="U12" s="91" t="s">
        <v>56</v>
      </c>
      <c r="V12" s="91" t="s">
        <v>38</v>
      </c>
      <c r="W12" s="91" t="s">
        <v>39</v>
      </c>
      <c r="X12" s="91" t="s">
        <v>40</v>
      </c>
      <c r="Y12" s="96" t="s">
        <v>54</v>
      </c>
      <c r="Z12" s="96" t="s">
        <v>53</v>
      </c>
      <c r="AA12" s="91" t="s">
        <v>41</v>
      </c>
      <c r="AB12" s="91" t="s">
        <v>42</v>
      </c>
      <c r="AC12" s="91" t="s">
        <v>43</v>
      </c>
      <c r="AD12" s="92" t="s">
        <v>44</v>
      </c>
      <c r="AE12" s="78" t="s">
        <v>402</v>
      </c>
      <c r="AF12" s="95" t="s">
        <v>45</v>
      </c>
      <c r="AG12" s="74" t="s">
        <v>19</v>
      </c>
      <c r="AH12" s="75" t="s">
        <v>20</v>
      </c>
      <c r="AI12" s="96" t="s">
        <v>47</v>
      </c>
      <c r="AJ12" s="91" t="s">
        <v>48</v>
      </c>
      <c r="AK12" s="96" t="s">
        <v>49</v>
      </c>
      <c r="AL12" s="96" t="s">
        <v>50</v>
      </c>
      <c r="AM12" s="91" t="s">
        <v>51</v>
      </c>
      <c r="AN12" s="115" t="s">
        <v>66</v>
      </c>
      <c r="AO12" s="79" t="s">
        <v>15</v>
      </c>
      <c r="AP12" s="79" t="s">
        <v>60</v>
      </c>
      <c r="AQ12" s="79" t="s">
        <v>17</v>
      </c>
      <c r="AR12" s="169" t="s">
        <v>267</v>
      </c>
      <c r="AS12" s="169" t="s">
        <v>268</v>
      </c>
      <c r="AT12" s="169" t="s">
        <v>269</v>
      </c>
      <c r="AU12" s="169" t="s">
        <v>270</v>
      </c>
      <c r="AV12" s="169" t="s">
        <v>271</v>
      </c>
      <c r="AW12" s="169" t="s">
        <v>272</v>
      </c>
      <c r="AX12" s="169" t="s">
        <v>273</v>
      </c>
      <c r="AY12" s="169" t="s">
        <v>274</v>
      </c>
      <c r="AZ12" s="169" t="s">
        <v>275</v>
      </c>
      <c r="BA12" s="169" t="s">
        <v>276</v>
      </c>
      <c r="BB12" s="169" t="s">
        <v>277</v>
      </c>
      <c r="BC12" s="169" t="s">
        <v>278</v>
      </c>
      <c r="BD12" s="169" t="s">
        <v>279</v>
      </c>
      <c r="BE12" s="169" t="s">
        <v>280</v>
      </c>
      <c r="BF12" s="169" t="s">
        <v>281</v>
      </c>
      <c r="BG12" s="169" t="s">
        <v>282</v>
      </c>
      <c r="BH12" s="169" t="s">
        <v>283</v>
      </c>
      <c r="BI12" s="169" t="s">
        <v>284</v>
      </c>
      <c r="BJ12" s="169" t="s">
        <v>285</v>
      </c>
      <c r="BK12" s="169" t="s">
        <v>286</v>
      </c>
      <c r="BL12" s="169" t="s">
        <v>287</v>
      </c>
      <c r="BM12" s="169" t="s">
        <v>288</v>
      </c>
      <c r="BN12" s="169" t="s">
        <v>289</v>
      </c>
      <c r="BO12" s="169" t="s">
        <v>290</v>
      </c>
      <c r="BP12" s="169" t="s">
        <v>291</v>
      </c>
      <c r="BQ12" s="169" t="s">
        <v>292</v>
      </c>
      <c r="BR12" s="169" t="s">
        <v>293</v>
      </c>
      <c r="BS12" s="169" t="s">
        <v>294</v>
      </c>
      <c r="BT12" s="169" t="s">
        <v>295</v>
      </c>
      <c r="BU12" s="169" t="s">
        <v>296</v>
      </c>
      <c r="BV12" s="169" t="s">
        <v>297</v>
      </c>
      <c r="BW12" s="169" t="s">
        <v>298</v>
      </c>
      <c r="BX12" s="169" t="s">
        <v>299</v>
      </c>
      <c r="BY12" s="169" t="s">
        <v>300</v>
      </c>
      <c r="BZ12" s="169" t="s">
        <v>301</v>
      </c>
      <c r="CA12" s="169" t="s">
        <v>302</v>
      </c>
      <c r="CB12" s="169" t="s">
        <v>303</v>
      </c>
      <c r="CC12" s="169" t="s">
        <v>304</v>
      </c>
      <c r="CD12" s="169" t="s">
        <v>305</v>
      </c>
      <c r="CE12" s="169" t="s">
        <v>306</v>
      </c>
      <c r="CF12" s="169" t="s">
        <v>307</v>
      </c>
      <c r="CG12" s="169" t="s">
        <v>308</v>
      </c>
      <c r="CH12" s="169" t="s">
        <v>309</v>
      </c>
      <c r="CI12" s="169" t="s">
        <v>310</v>
      </c>
      <c r="CJ12" s="169" t="s">
        <v>311</v>
      </c>
      <c r="CK12" s="169" t="s">
        <v>312</v>
      </c>
      <c r="CL12" s="169" t="s">
        <v>313</v>
      </c>
      <c r="CM12" s="169" t="s">
        <v>314</v>
      </c>
      <c r="CN12" s="169" t="s">
        <v>315</v>
      </c>
      <c r="CO12" s="169" t="s">
        <v>316</v>
      </c>
      <c r="CP12" s="169" t="s">
        <v>317</v>
      </c>
      <c r="CQ12" s="169" t="s">
        <v>318</v>
      </c>
      <c r="CR12" s="169" t="s">
        <v>319</v>
      </c>
      <c r="CS12" s="169" t="s">
        <v>320</v>
      </c>
      <c r="CT12" s="169" t="s">
        <v>321</v>
      </c>
      <c r="CU12" s="169" t="s">
        <v>322</v>
      </c>
      <c r="CV12" s="169" t="s">
        <v>323</v>
      </c>
      <c r="CW12" s="169" t="s">
        <v>324</v>
      </c>
      <c r="CX12" s="169" t="s">
        <v>325</v>
      </c>
      <c r="CY12" s="169" t="s">
        <v>326</v>
      </c>
      <c r="CZ12" s="169" t="s">
        <v>327</v>
      </c>
      <c r="DA12" s="169" t="s">
        <v>328</v>
      </c>
      <c r="DB12" s="169" t="s">
        <v>329</v>
      </c>
      <c r="DC12" s="169" t="s">
        <v>330</v>
      </c>
      <c r="DD12" s="169" t="s">
        <v>331</v>
      </c>
      <c r="DE12" s="169" t="s">
        <v>332</v>
      </c>
      <c r="DF12" s="169" t="s">
        <v>333</v>
      </c>
      <c r="DG12" s="169" t="s">
        <v>334</v>
      </c>
      <c r="DH12" s="169" t="s">
        <v>335</v>
      </c>
      <c r="DI12" s="169" t="s">
        <v>336</v>
      </c>
      <c r="DJ12" s="169" t="s">
        <v>337</v>
      </c>
      <c r="DK12" s="169" t="s">
        <v>338</v>
      </c>
      <c r="DL12" s="169" t="s">
        <v>339</v>
      </c>
      <c r="DM12" s="169" t="s">
        <v>340</v>
      </c>
      <c r="DN12" s="169" t="s">
        <v>341</v>
      </c>
      <c r="DO12" s="169" t="s">
        <v>342</v>
      </c>
      <c r="DP12" s="169" t="s">
        <v>343</v>
      </c>
      <c r="DQ12" s="169" t="s">
        <v>344</v>
      </c>
      <c r="DR12" s="169" t="s">
        <v>345</v>
      </c>
      <c r="DS12" s="169" t="s">
        <v>346</v>
      </c>
      <c r="DT12" s="169" t="s">
        <v>347</v>
      </c>
      <c r="DU12" s="169" t="s">
        <v>348</v>
      </c>
      <c r="DV12" s="169" t="s">
        <v>349</v>
      </c>
      <c r="DW12" s="169" t="s">
        <v>350</v>
      </c>
      <c r="DX12" s="169" t="s">
        <v>351</v>
      </c>
      <c r="DY12" s="169" t="s">
        <v>352</v>
      </c>
      <c r="DZ12" s="169" t="s">
        <v>353</v>
      </c>
      <c r="EA12" s="169" t="s">
        <v>354</v>
      </c>
      <c r="EB12" s="169" t="s">
        <v>355</v>
      </c>
      <c r="EC12" s="169" t="s">
        <v>356</v>
      </c>
      <c r="ED12" s="169" t="s">
        <v>357</v>
      </c>
      <c r="EE12" s="169" t="s">
        <v>358</v>
      </c>
      <c r="EF12" s="169" t="s">
        <v>359</v>
      </c>
      <c r="EG12" s="169" t="s">
        <v>360</v>
      </c>
      <c r="EH12" s="169" t="s">
        <v>361</v>
      </c>
      <c r="EI12" s="169" t="s">
        <v>362</v>
      </c>
      <c r="EJ12" s="169" t="s">
        <v>363</v>
      </c>
      <c r="EK12" s="169" t="s">
        <v>364</v>
      </c>
      <c r="EL12" s="169" t="s">
        <v>365</v>
      </c>
      <c r="EM12" s="169" t="s">
        <v>366</v>
      </c>
      <c r="EN12" s="169" t="s">
        <v>367</v>
      </c>
      <c r="EO12" s="169" t="s">
        <v>368</v>
      </c>
      <c r="EP12" s="169" t="s">
        <v>369</v>
      </c>
      <c r="EQ12" s="169" t="s">
        <v>370</v>
      </c>
      <c r="ER12" s="169" t="s">
        <v>371</v>
      </c>
      <c r="ES12" s="169" t="s">
        <v>372</v>
      </c>
      <c r="ET12" s="169" t="s">
        <v>373</v>
      </c>
      <c r="EU12" s="169" t="s">
        <v>374</v>
      </c>
      <c r="EV12" s="169" t="s">
        <v>375</v>
      </c>
      <c r="EW12" s="169" t="s">
        <v>376</v>
      </c>
      <c r="EX12" s="169" t="s">
        <v>377</v>
      </c>
      <c r="EY12" s="169" t="s">
        <v>378</v>
      </c>
      <c r="EZ12" s="169" t="s">
        <v>379</v>
      </c>
      <c r="FA12" s="169" t="s">
        <v>380</v>
      </c>
      <c r="FB12" s="169" t="s">
        <v>381</v>
      </c>
      <c r="FC12" s="169" t="s">
        <v>382</v>
      </c>
      <c r="FD12" s="169" t="s">
        <v>383</v>
      </c>
      <c r="FE12" s="169" t="s">
        <v>384</v>
      </c>
      <c r="FF12" s="169" t="s">
        <v>385</v>
      </c>
      <c r="FG12" s="169" t="s">
        <v>386</v>
      </c>
      <c r="FH12" s="169" t="s">
        <v>387</v>
      </c>
      <c r="FI12" s="169" t="s">
        <v>388</v>
      </c>
      <c r="FJ12" s="169" t="s">
        <v>389</v>
      </c>
      <c r="FK12" s="169" t="s">
        <v>390</v>
      </c>
      <c r="FL12" s="169" t="s">
        <v>391</v>
      </c>
      <c r="FM12" s="169" t="s">
        <v>392</v>
      </c>
      <c r="FN12" s="169" t="s">
        <v>393</v>
      </c>
      <c r="FO12" s="169" t="s">
        <v>394</v>
      </c>
    </row>
    <row r="13" spans="1:171" s="5" customFormat="1" thickBot="1" x14ac:dyDescent="0.35">
      <c r="A13" s="80" t="s">
        <v>21</v>
      </c>
      <c r="B13" s="81" t="s">
        <v>22</v>
      </c>
      <c r="C13" s="81" t="s">
        <v>73</v>
      </c>
      <c r="D13" s="81" t="s">
        <v>74</v>
      </c>
      <c r="E13" s="81" t="s">
        <v>427</v>
      </c>
      <c r="F13" s="82" t="s">
        <v>22</v>
      </c>
      <c r="G13" s="82" t="s">
        <v>22</v>
      </c>
      <c r="H13" s="118" t="s">
        <v>22</v>
      </c>
      <c r="I13" s="123"/>
      <c r="J13" s="123"/>
      <c r="K13" s="83" t="s">
        <v>22</v>
      </c>
      <c r="L13" s="84" t="s">
        <v>22</v>
      </c>
      <c r="M13" s="85" t="s">
        <v>28</v>
      </c>
      <c r="N13" s="85" t="s">
        <v>24</v>
      </c>
      <c r="O13" s="85" t="s">
        <v>27</v>
      </c>
      <c r="P13" s="85" t="s">
        <v>23</v>
      </c>
      <c r="Q13" s="85" t="s">
        <v>22</v>
      </c>
      <c r="R13" s="85" t="s">
        <v>22</v>
      </c>
      <c r="S13" s="85" t="s">
        <v>22</v>
      </c>
      <c r="T13" s="85" t="s">
        <v>22</v>
      </c>
      <c r="U13" s="85" t="s">
        <v>22</v>
      </c>
      <c r="V13" s="85" t="s">
        <v>22</v>
      </c>
      <c r="W13" s="85" t="s">
        <v>22</v>
      </c>
      <c r="X13" s="85" t="s">
        <v>22</v>
      </c>
      <c r="Y13" s="85" t="s">
        <v>22</v>
      </c>
      <c r="Z13" s="85" t="s">
        <v>22</v>
      </c>
      <c r="AA13" s="85" t="s">
        <v>25</v>
      </c>
      <c r="AB13" s="85" t="s">
        <v>25</v>
      </c>
      <c r="AC13" s="85" t="s">
        <v>22</v>
      </c>
      <c r="AD13" s="90" t="s">
        <v>22</v>
      </c>
      <c r="AE13" s="85" t="s">
        <v>403</v>
      </c>
      <c r="AF13" s="89" t="s">
        <v>46</v>
      </c>
      <c r="AG13" s="87" t="s">
        <v>26</v>
      </c>
      <c r="AH13" s="88" t="s">
        <v>26</v>
      </c>
      <c r="AI13" s="97" t="s">
        <v>57</v>
      </c>
      <c r="AJ13" s="85" t="s">
        <v>22</v>
      </c>
      <c r="AK13" s="97" t="s">
        <v>58</v>
      </c>
      <c r="AL13" s="97" t="s">
        <v>59</v>
      </c>
      <c r="AM13" s="85" t="s">
        <v>25</v>
      </c>
      <c r="AN13" s="116" t="s">
        <v>67</v>
      </c>
      <c r="AO13" s="86" t="s">
        <v>23</v>
      </c>
      <c r="AP13" s="86" t="s">
        <v>26</v>
      </c>
      <c r="AQ13" s="86" t="s">
        <v>26</v>
      </c>
      <c r="AR13" s="93" t="s">
        <v>32</v>
      </c>
      <c r="AS13" s="93" t="s">
        <v>142</v>
      </c>
      <c r="AT13" s="93" t="s">
        <v>33</v>
      </c>
      <c r="AU13" s="93" t="s">
        <v>34</v>
      </c>
      <c r="AV13" s="93" t="s">
        <v>143</v>
      </c>
      <c r="AW13" s="93" t="s">
        <v>144</v>
      </c>
      <c r="AX13" s="93" t="s">
        <v>145</v>
      </c>
      <c r="AY13" s="93" t="s">
        <v>146</v>
      </c>
      <c r="AZ13" s="93" t="s">
        <v>147</v>
      </c>
      <c r="BA13" s="93" t="s">
        <v>148</v>
      </c>
      <c r="BB13" s="93" t="s">
        <v>149</v>
      </c>
      <c r="BC13" s="93" t="s">
        <v>150</v>
      </c>
      <c r="BD13" s="93" t="s">
        <v>151</v>
      </c>
      <c r="BE13" s="93" t="s">
        <v>152</v>
      </c>
      <c r="BF13" s="93" t="s">
        <v>153</v>
      </c>
      <c r="BG13" s="93" t="s">
        <v>154</v>
      </c>
      <c r="BH13" s="93" t="s">
        <v>155</v>
      </c>
      <c r="BI13" s="93" t="s">
        <v>156</v>
      </c>
      <c r="BJ13" s="93" t="s">
        <v>157</v>
      </c>
      <c r="BK13" s="93" t="s">
        <v>158</v>
      </c>
      <c r="BL13" s="93" t="s">
        <v>159</v>
      </c>
      <c r="BM13" s="93" t="s">
        <v>160</v>
      </c>
      <c r="BN13" s="93" t="s">
        <v>161</v>
      </c>
      <c r="BO13" s="93" t="s">
        <v>162</v>
      </c>
      <c r="BP13" s="93" t="s">
        <v>163</v>
      </c>
      <c r="BQ13" s="93" t="s">
        <v>164</v>
      </c>
      <c r="BR13" s="93" t="s">
        <v>165</v>
      </c>
      <c r="BS13" s="93" t="s">
        <v>166</v>
      </c>
      <c r="BT13" s="93" t="s">
        <v>167</v>
      </c>
      <c r="BU13" s="93" t="s">
        <v>168</v>
      </c>
      <c r="BV13" s="93" t="s">
        <v>169</v>
      </c>
      <c r="BW13" s="93" t="s">
        <v>170</v>
      </c>
      <c r="BX13" s="93" t="s">
        <v>171</v>
      </c>
      <c r="BY13" s="93" t="s">
        <v>172</v>
      </c>
      <c r="BZ13" s="93" t="s">
        <v>173</v>
      </c>
      <c r="CA13" s="93" t="s">
        <v>174</v>
      </c>
      <c r="CB13" s="93" t="s">
        <v>175</v>
      </c>
      <c r="CC13" s="93" t="s">
        <v>176</v>
      </c>
      <c r="CD13" s="93" t="s">
        <v>177</v>
      </c>
      <c r="CE13" s="93" t="s">
        <v>178</v>
      </c>
      <c r="CF13" s="93" t="s">
        <v>179</v>
      </c>
      <c r="CG13" s="93" t="s">
        <v>180</v>
      </c>
      <c r="CH13" s="93" t="s">
        <v>181</v>
      </c>
      <c r="CI13" s="93" t="s">
        <v>182</v>
      </c>
      <c r="CJ13" s="93" t="s">
        <v>183</v>
      </c>
      <c r="CK13" s="93" t="s">
        <v>184</v>
      </c>
      <c r="CL13" s="93" t="s">
        <v>185</v>
      </c>
      <c r="CM13" s="93" t="s">
        <v>186</v>
      </c>
      <c r="CN13" s="93" t="s">
        <v>187</v>
      </c>
      <c r="CO13" s="93" t="s">
        <v>188</v>
      </c>
      <c r="CP13" s="93" t="s">
        <v>189</v>
      </c>
      <c r="CQ13" s="93" t="s">
        <v>190</v>
      </c>
      <c r="CR13" s="93" t="s">
        <v>191</v>
      </c>
      <c r="CS13" s="93" t="s">
        <v>192</v>
      </c>
      <c r="CT13" s="93" t="s">
        <v>193</v>
      </c>
      <c r="CU13" s="93" t="s">
        <v>194</v>
      </c>
      <c r="CV13" s="93" t="s">
        <v>195</v>
      </c>
      <c r="CW13" s="93" t="s">
        <v>196</v>
      </c>
      <c r="CX13" s="93" t="s">
        <v>197</v>
      </c>
      <c r="CY13" s="93" t="s">
        <v>198</v>
      </c>
      <c r="CZ13" s="93" t="s">
        <v>199</v>
      </c>
      <c r="DA13" s="93" t="s">
        <v>200</v>
      </c>
      <c r="DB13" s="93" t="s">
        <v>201</v>
      </c>
      <c r="DC13" s="93" t="s">
        <v>202</v>
      </c>
      <c r="DD13" s="93" t="s">
        <v>203</v>
      </c>
      <c r="DE13" s="93" t="s">
        <v>204</v>
      </c>
      <c r="DF13" s="93" t="s">
        <v>205</v>
      </c>
      <c r="DG13" s="93" t="s">
        <v>206</v>
      </c>
      <c r="DH13" s="93" t="s">
        <v>207</v>
      </c>
      <c r="DI13" s="93" t="s">
        <v>208</v>
      </c>
      <c r="DJ13" s="93" t="s">
        <v>209</v>
      </c>
      <c r="DK13" s="93" t="s">
        <v>210</v>
      </c>
      <c r="DL13" s="93" t="s">
        <v>211</v>
      </c>
      <c r="DM13" s="93" t="s">
        <v>212</v>
      </c>
      <c r="DN13" s="93" t="s">
        <v>213</v>
      </c>
      <c r="DO13" s="93" t="s">
        <v>214</v>
      </c>
      <c r="DP13" s="93" t="s">
        <v>215</v>
      </c>
      <c r="DQ13" s="93" t="s">
        <v>216</v>
      </c>
      <c r="DR13" s="93" t="s">
        <v>217</v>
      </c>
      <c r="DS13" s="93" t="s">
        <v>218</v>
      </c>
      <c r="DT13" s="93" t="s">
        <v>219</v>
      </c>
      <c r="DU13" s="93" t="s">
        <v>220</v>
      </c>
      <c r="DV13" s="93" t="s">
        <v>221</v>
      </c>
      <c r="DW13" s="93" t="s">
        <v>222</v>
      </c>
      <c r="DX13" s="93" t="s">
        <v>223</v>
      </c>
      <c r="DY13" s="93" t="s">
        <v>224</v>
      </c>
      <c r="DZ13" s="93" t="s">
        <v>225</v>
      </c>
      <c r="EA13" s="93" t="s">
        <v>226</v>
      </c>
      <c r="EB13" s="93" t="s">
        <v>227</v>
      </c>
      <c r="EC13" s="93" t="s">
        <v>228</v>
      </c>
      <c r="ED13" s="93" t="s">
        <v>229</v>
      </c>
      <c r="EE13" s="93" t="s">
        <v>230</v>
      </c>
      <c r="EF13" s="93" t="s">
        <v>231</v>
      </c>
      <c r="EG13" s="93" t="s">
        <v>232</v>
      </c>
      <c r="EH13" s="93" t="s">
        <v>233</v>
      </c>
      <c r="EI13" s="93" t="s">
        <v>234</v>
      </c>
      <c r="EJ13" s="93" t="s">
        <v>235</v>
      </c>
      <c r="EK13" s="93" t="s">
        <v>236</v>
      </c>
      <c r="EL13" s="93" t="s">
        <v>237</v>
      </c>
      <c r="EM13" s="93" t="s">
        <v>238</v>
      </c>
      <c r="EN13" s="93" t="s">
        <v>239</v>
      </c>
      <c r="EO13" s="93" t="s">
        <v>240</v>
      </c>
      <c r="EP13" s="93" t="s">
        <v>241</v>
      </c>
      <c r="EQ13" s="93" t="s">
        <v>242</v>
      </c>
      <c r="ER13" s="93" t="s">
        <v>243</v>
      </c>
      <c r="ES13" s="93" t="s">
        <v>244</v>
      </c>
      <c r="ET13" s="93" t="s">
        <v>245</v>
      </c>
      <c r="EU13" s="93" t="s">
        <v>246</v>
      </c>
      <c r="EV13" s="93" t="s">
        <v>247</v>
      </c>
      <c r="EW13" s="93" t="s">
        <v>248</v>
      </c>
      <c r="EX13" s="93" t="s">
        <v>249</v>
      </c>
      <c r="EY13" s="93" t="s">
        <v>250</v>
      </c>
      <c r="EZ13" s="93" t="s">
        <v>251</v>
      </c>
      <c r="FA13" s="93" t="s">
        <v>252</v>
      </c>
      <c r="FB13" s="93" t="s">
        <v>253</v>
      </c>
      <c r="FC13" s="93" t="s">
        <v>254</v>
      </c>
      <c r="FD13" s="93" t="s">
        <v>255</v>
      </c>
      <c r="FE13" s="93" t="s">
        <v>256</v>
      </c>
      <c r="FF13" s="93" t="s">
        <v>257</v>
      </c>
      <c r="FG13" s="93" t="s">
        <v>258</v>
      </c>
      <c r="FH13" s="93" t="s">
        <v>259</v>
      </c>
      <c r="FI13" s="93" t="s">
        <v>260</v>
      </c>
      <c r="FJ13" s="93" t="s">
        <v>261</v>
      </c>
      <c r="FK13" s="93" t="s">
        <v>262</v>
      </c>
      <c r="FL13" s="93" t="s">
        <v>263</v>
      </c>
      <c r="FM13" s="93" t="s">
        <v>264</v>
      </c>
      <c r="FN13" s="93" t="s">
        <v>265</v>
      </c>
      <c r="FO13" s="93" t="s">
        <v>266</v>
      </c>
    </row>
    <row r="14" spans="1:171" s="161" customFormat="1" ht="14.45" x14ac:dyDescent="0.3">
      <c r="A14" s="149" t="s">
        <v>29</v>
      </c>
      <c r="B14" s="172" t="str">
        <f>CONCATENATE("INN3", IF(ISBLANK(H14),"x",H14), I14, J14, "C-",INDEX(C14:E14,B$4))</f>
        <v>INN3x65C-HP07</v>
      </c>
      <c r="C14" s="150"/>
      <c r="D14" s="150"/>
      <c r="E14" s="150" t="s">
        <v>412</v>
      </c>
      <c r="F14" s="151"/>
      <c r="G14" s="151"/>
      <c r="H14" s="151"/>
      <c r="I14" s="152">
        <v>6</v>
      </c>
      <c r="J14" s="152">
        <v>5</v>
      </c>
      <c r="K14" s="153">
        <v>5</v>
      </c>
      <c r="L14" s="154">
        <v>5</v>
      </c>
      <c r="M14" s="155">
        <v>115</v>
      </c>
      <c r="N14" s="156">
        <v>950</v>
      </c>
      <c r="O14" s="155">
        <v>9.1</v>
      </c>
      <c r="P14" s="156">
        <v>25</v>
      </c>
      <c r="Q14" s="156">
        <v>0</v>
      </c>
      <c r="R14" s="156">
        <v>0</v>
      </c>
      <c r="S14" s="156">
        <v>0</v>
      </c>
      <c r="T14" s="156">
        <v>0</v>
      </c>
      <c r="U14" s="156">
        <v>0</v>
      </c>
      <c r="V14" s="156">
        <v>0</v>
      </c>
      <c r="W14" s="156">
        <v>0</v>
      </c>
      <c r="X14" s="156">
        <v>1</v>
      </c>
      <c r="Y14" s="156">
        <v>0</v>
      </c>
      <c r="Z14" s="156">
        <v>0</v>
      </c>
      <c r="AA14" s="156">
        <v>0</v>
      </c>
      <c r="AB14" s="156">
        <v>0</v>
      </c>
      <c r="AC14" s="156">
        <v>1</v>
      </c>
      <c r="AD14" s="157" t="s">
        <v>32</v>
      </c>
      <c r="AE14" s="156">
        <v>0</v>
      </c>
      <c r="AF14" s="158">
        <v>0</v>
      </c>
      <c r="AG14" s="159">
        <v>675</v>
      </c>
      <c r="AH14" s="160">
        <v>630</v>
      </c>
      <c r="AI14" s="156">
        <v>6</v>
      </c>
      <c r="AJ14" s="156">
        <v>0</v>
      </c>
      <c r="AK14" s="156">
        <v>10</v>
      </c>
      <c r="AL14" s="156">
        <v>6</v>
      </c>
      <c r="AM14" s="156">
        <v>0</v>
      </c>
      <c r="AN14" s="156">
        <v>0</v>
      </c>
      <c r="AO14" s="162">
        <v>132</v>
      </c>
      <c r="AP14" s="163">
        <v>3.2000000000000001E-2</v>
      </c>
      <c r="AQ14" s="164">
        <v>5</v>
      </c>
      <c r="AR14" s="103">
        <v>0</v>
      </c>
      <c r="AS14" s="103">
        <v>0</v>
      </c>
      <c r="AT14" s="103">
        <v>0</v>
      </c>
      <c r="AU14" s="103">
        <v>0</v>
      </c>
      <c r="AV14" s="103">
        <v>0</v>
      </c>
      <c r="AW14" s="103">
        <v>0</v>
      </c>
      <c r="AX14" s="103">
        <v>0</v>
      </c>
      <c r="AY14" s="103">
        <v>0</v>
      </c>
      <c r="AZ14" s="103">
        <v>0</v>
      </c>
      <c r="BA14" s="103">
        <v>0</v>
      </c>
      <c r="BB14" s="103">
        <v>0</v>
      </c>
      <c r="BC14" s="103">
        <v>0</v>
      </c>
      <c r="BD14" s="103">
        <v>0</v>
      </c>
      <c r="BE14" s="103">
        <v>0</v>
      </c>
      <c r="BF14" s="103">
        <v>0</v>
      </c>
      <c r="BG14" s="103">
        <v>0</v>
      </c>
      <c r="BH14" s="103">
        <v>0</v>
      </c>
      <c r="BI14" s="103">
        <v>0</v>
      </c>
      <c r="BJ14" s="103">
        <v>0</v>
      </c>
      <c r="BK14" s="103">
        <v>0</v>
      </c>
      <c r="BL14" s="103">
        <v>0</v>
      </c>
      <c r="BM14" s="103">
        <v>0</v>
      </c>
      <c r="BN14" s="103">
        <v>0</v>
      </c>
      <c r="BO14" s="103">
        <v>1</v>
      </c>
      <c r="BP14" s="103">
        <v>0</v>
      </c>
      <c r="BQ14" s="103">
        <v>0</v>
      </c>
      <c r="BR14" s="103">
        <v>0</v>
      </c>
      <c r="BS14" s="103">
        <v>1</v>
      </c>
      <c r="BT14" s="103">
        <v>0</v>
      </c>
      <c r="BU14" s="103">
        <v>0</v>
      </c>
      <c r="BV14" s="103">
        <v>0</v>
      </c>
      <c r="BW14" s="103">
        <v>0</v>
      </c>
      <c r="BX14" s="103">
        <v>0</v>
      </c>
      <c r="BY14" s="103">
        <v>0</v>
      </c>
      <c r="BZ14" s="103">
        <v>0</v>
      </c>
      <c r="CA14" s="103">
        <v>0</v>
      </c>
      <c r="CB14" s="103">
        <v>0</v>
      </c>
      <c r="CC14" s="103">
        <v>0</v>
      </c>
      <c r="CD14" s="103">
        <v>1</v>
      </c>
      <c r="CE14" s="103">
        <v>0</v>
      </c>
      <c r="CF14" s="103">
        <v>0</v>
      </c>
      <c r="CG14" s="103">
        <v>0</v>
      </c>
      <c r="CH14" s="103">
        <v>0</v>
      </c>
      <c r="CI14" s="103">
        <v>0</v>
      </c>
      <c r="CJ14" s="103">
        <v>0</v>
      </c>
      <c r="CK14" s="103">
        <v>0</v>
      </c>
      <c r="CL14" s="103">
        <v>0</v>
      </c>
      <c r="CM14" s="103">
        <v>0</v>
      </c>
      <c r="CN14" s="103">
        <v>0</v>
      </c>
      <c r="CO14" s="103">
        <v>0</v>
      </c>
      <c r="CP14" s="103">
        <v>0</v>
      </c>
      <c r="CQ14" s="103">
        <v>0</v>
      </c>
      <c r="CR14" s="103">
        <v>0</v>
      </c>
      <c r="CS14" s="103">
        <v>0</v>
      </c>
      <c r="CT14" s="103">
        <v>0</v>
      </c>
      <c r="CU14" s="103">
        <v>1</v>
      </c>
      <c r="CV14" s="103">
        <v>0</v>
      </c>
      <c r="CW14" s="103">
        <v>0</v>
      </c>
      <c r="CX14" s="103">
        <v>0</v>
      </c>
      <c r="CY14" s="103">
        <v>0</v>
      </c>
      <c r="CZ14" s="103">
        <v>0</v>
      </c>
      <c r="DA14" s="103">
        <v>0</v>
      </c>
      <c r="DB14" s="103">
        <v>0</v>
      </c>
      <c r="DC14" s="103">
        <v>1</v>
      </c>
      <c r="DD14" s="103">
        <v>0</v>
      </c>
      <c r="DE14" s="103">
        <v>0</v>
      </c>
      <c r="DF14" s="103">
        <v>0</v>
      </c>
      <c r="DG14" s="103">
        <v>0</v>
      </c>
      <c r="DH14" s="103">
        <v>0</v>
      </c>
      <c r="DI14" s="103">
        <v>0</v>
      </c>
      <c r="DJ14" s="103">
        <v>0</v>
      </c>
      <c r="DK14" s="103">
        <v>0</v>
      </c>
      <c r="DL14" s="103">
        <v>0</v>
      </c>
      <c r="DM14" s="103">
        <v>0</v>
      </c>
      <c r="DN14" s="103">
        <v>0</v>
      </c>
      <c r="DO14" s="103">
        <v>0</v>
      </c>
      <c r="DP14" s="103">
        <v>0</v>
      </c>
      <c r="DQ14" s="103">
        <v>0</v>
      </c>
      <c r="DR14" s="103">
        <v>0</v>
      </c>
      <c r="DS14" s="103">
        <v>0</v>
      </c>
      <c r="DT14" s="103">
        <v>0</v>
      </c>
      <c r="DU14" s="103">
        <v>0</v>
      </c>
      <c r="DV14" s="103">
        <v>0</v>
      </c>
      <c r="DW14" s="103">
        <v>0</v>
      </c>
      <c r="DX14" s="103">
        <v>0</v>
      </c>
      <c r="DY14" s="103">
        <v>0</v>
      </c>
      <c r="DZ14" s="103">
        <v>0</v>
      </c>
      <c r="EA14" s="103">
        <v>0</v>
      </c>
      <c r="EB14" s="103">
        <v>0</v>
      </c>
      <c r="EC14" s="103">
        <v>0</v>
      </c>
      <c r="ED14" s="103">
        <v>0</v>
      </c>
      <c r="EE14" s="103">
        <v>0</v>
      </c>
      <c r="EF14" s="103">
        <v>0</v>
      </c>
      <c r="EG14" s="103">
        <v>0</v>
      </c>
      <c r="EH14" s="103">
        <v>0</v>
      </c>
      <c r="EI14" s="103">
        <v>0</v>
      </c>
      <c r="EJ14" s="103">
        <v>0</v>
      </c>
      <c r="EK14" s="103">
        <v>0</v>
      </c>
      <c r="EL14" s="103">
        <v>0</v>
      </c>
      <c r="EM14" s="103">
        <v>0</v>
      </c>
      <c r="EN14" s="103">
        <v>0</v>
      </c>
      <c r="EO14" s="103">
        <v>0</v>
      </c>
      <c r="EP14" s="103">
        <v>0</v>
      </c>
      <c r="EQ14" s="103">
        <v>0</v>
      </c>
      <c r="ER14" s="103">
        <v>1</v>
      </c>
      <c r="ES14" s="103">
        <v>0</v>
      </c>
      <c r="ET14" s="103">
        <v>0</v>
      </c>
      <c r="EU14" s="103">
        <v>0</v>
      </c>
      <c r="EV14" s="103">
        <v>0</v>
      </c>
      <c r="EW14" s="103">
        <v>0</v>
      </c>
      <c r="EX14" s="103">
        <v>0</v>
      </c>
      <c r="EY14" s="103">
        <v>0</v>
      </c>
      <c r="EZ14" s="103">
        <v>0</v>
      </c>
      <c r="FA14" s="103">
        <v>0</v>
      </c>
      <c r="FB14" s="103">
        <v>0</v>
      </c>
      <c r="FC14" s="103">
        <v>0</v>
      </c>
      <c r="FD14" s="103">
        <v>0</v>
      </c>
      <c r="FE14" s="103">
        <v>0</v>
      </c>
      <c r="FF14" s="103">
        <v>0</v>
      </c>
      <c r="FG14" s="103">
        <v>0</v>
      </c>
      <c r="FH14" s="103">
        <v>0</v>
      </c>
      <c r="FI14" s="103">
        <v>0</v>
      </c>
      <c r="FJ14" s="103">
        <v>0</v>
      </c>
      <c r="FK14" s="103">
        <v>0</v>
      </c>
      <c r="FL14" s="103">
        <v>0</v>
      </c>
      <c r="FM14" s="103">
        <v>0</v>
      </c>
      <c r="FN14" s="103">
        <v>0</v>
      </c>
      <c r="FO14" s="103">
        <v>0</v>
      </c>
    </row>
    <row r="15" spans="1:171" s="161" customFormat="1" ht="14.45" x14ac:dyDescent="0.3">
      <c r="A15" s="149" t="s">
        <v>29</v>
      </c>
      <c r="B15" s="172" t="str">
        <f t="shared" ref="B15:B25" si="0">CONCATENATE("INN3", IF(ISBLANK(H15),"x",H15), I15, J15, "C-",INDEX(C15:E15,B$4))</f>
        <v>INN3x66C-HP08</v>
      </c>
      <c r="C15" s="150"/>
      <c r="D15" s="150"/>
      <c r="E15" s="176" t="s">
        <v>413</v>
      </c>
      <c r="F15" s="151"/>
      <c r="G15" s="151"/>
      <c r="H15" s="151"/>
      <c r="I15" s="152">
        <v>6</v>
      </c>
      <c r="J15" s="152">
        <v>6</v>
      </c>
      <c r="K15" s="153">
        <v>6</v>
      </c>
      <c r="L15" s="154">
        <v>6</v>
      </c>
      <c r="M15" s="155">
        <v>115</v>
      </c>
      <c r="N15" s="156">
        <v>1250</v>
      </c>
      <c r="O15" s="155">
        <v>9.1</v>
      </c>
      <c r="P15" s="156">
        <v>25</v>
      </c>
      <c r="Q15" s="156">
        <v>0</v>
      </c>
      <c r="R15" s="156">
        <v>0</v>
      </c>
      <c r="S15" s="156">
        <v>0</v>
      </c>
      <c r="T15" s="156">
        <v>0</v>
      </c>
      <c r="U15" s="156">
        <v>0</v>
      </c>
      <c r="V15" s="156">
        <v>0</v>
      </c>
      <c r="W15" s="156">
        <v>0</v>
      </c>
      <c r="X15" s="156">
        <v>1</v>
      </c>
      <c r="Y15" s="156">
        <v>0</v>
      </c>
      <c r="Z15" s="156">
        <v>0</v>
      </c>
      <c r="AA15" s="156">
        <v>0</v>
      </c>
      <c r="AB15" s="156">
        <v>0</v>
      </c>
      <c r="AC15" s="156">
        <v>1</v>
      </c>
      <c r="AD15" s="157" t="s">
        <v>32</v>
      </c>
      <c r="AE15" s="156">
        <v>0</v>
      </c>
      <c r="AF15" s="158">
        <v>0</v>
      </c>
      <c r="AG15" s="159">
        <v>675</v>
      </c>
      <c r="AH15" s="160">
        <v>630</v>
      </c>
      <c r="AI15" s="156">
        <v>10</v>
      </c>
      <c r="AJ15" s="156">
        <v>0</v>
      </c>
      <c r="AK15" s="156">
        <v>23</v>
      </c>
      <c r="AL15" s="156">
        <v>5</v>
      </c>
      <c r="AM15" s="156">
        <v>0</v>
      </c>
      <c r="AN15" s="156">
        <v>0</v>
      </c>
      <c r="AO15" s="162">
        <v>132</v>
      </c>
      <c r="AP15" s="163">
        <v>3.2000000000000001E-2</v>
      </c>
      <c r="AQ15" s="164">
        <v>5</v>
      </c>
      <c r="AR15" s="103">
        <v>0</v>
      </c>
      <c r="AS15" s="103">
        <v>0</v>
      </c>
      <c r="AT15" s="103">
        <v>0</v>
      </c>
      <c r="AU15" s="103">
        <v>0</v>
      </c>
      <c r="AV15" s="103">
        <v>0</v>
      </c>
      <c r="AW15" s="103">
        <v>0</v>
      </c>
      <c r="AX15" s="103">
        <v>0</v>
      </c>
      <c r="AY15" s="103">
        <v>0</v>
      </c>
      <c r="AZ15" s="103">
        <v>0</v>
      </c>
      <c r="BA15" s="103">
        <v>0</v>
      </c>
      <c r="BB15" s="103">
        <v>0</v>
      </c>
      <c r="BC15" s="103">
        <v>0</v>
      </c>
      <c r="BD15" s="103">
        <v>0</v>
      </c>
      <c r="BE15" s="103">
        <v>0</v>
      </c>
      <c r="BF15" s="103">
        <v>0</v>
      </c>
      <c r="BG15" s="103">
        <v>0</v>
      </c>
      <c r="BH15" s="103">
        <v>0</v>
      </c>
      <c r="BI15" s="103">
        <v>0</v>
      </c>
      <c r="BJ15" s="103">
        <v>0</v>
      </c>
      <c r="BK15" s="103">
        <v>0</v>
      </c>
      <c r="BL15" s="103">
        <v>0</v>
      </c>
      <c r="BM15" s="103">
        <v>0</v>
      </c>
      <c r="BN15" s="103">
        <v>0</v>
      </c>
      <c r="BO15" s="103">
        <v>1</v>
      </c>
      <c r="BP15" s="103">
        <v>0</v>
      </c>
      <c r="BQ15" s="103">
        <v>0</v>
      </c>
      <c r="BR15" s="103">
        <v>0</v>
      </c>
      <c r="BS15" s="103">
        <v>1</v>
      </c>
      <c r="BT15" s="103">
        <v>0</v>
      </c>
      <c r="BU15" s="103">
        <v>0</v>
      </c>
      <c r="BV15" s="103">
        <v>0</v>
      </c>
      <c r="BW15" s="103">
        <v>0</v>
      </c>
      <c r="BX15" s="103">
        <v>0</v>
      </c>
      <c r="BY15" s="103">
        <v>0</v>
      </c>
      <c r="BZ15" s="103">
        <v>0</v>
      </c>
      <c r="CA15" s="103">
        <v>0</v>
      </c>
      <c r="CB15" s="103">
        <v>0</v>
      </c>
      <c r="CC15" s="103">
        <v>0</v>
      </c>
      <c r="CD15" s="103">
        <v>1</v>
      </c>
      <c r="CE15" s="103">
        <v>0</v>
      </c>
      <c r="CF15" s="103">
        <v>0</v>
      </c>
      <c r="CG15" s="103">
        <v>0</v>
      </c>
      <c r="CH15" s="103">
        <v>0</v>
      </c>
      <c r="CI15" s="103">
        <v>0</v>
      </c>
      <c r="CJ15" s="103">
        <v>0</v>
      </c>
      <c r="CK15" s="103">
        <v>0</v>
      </c>
      <c r="CL15" s="103">
        <v>0</v>
      </c>
      <c r="CM15" s="103">
        <v>0</v>
      </c>
      <c r="CN15" s="103">
        <v>0</v>
      </c>
      <c r="CO15" s="103">
        <v>0</v>
      </c>
      <c r="CP15" s="103">
        <v>0</v>
      </c>
      <c r="CQ15" s="103">
        <v>0</v>
      </c>
      <c r="CR15" s="103">
        <v>0</v>
      </c>
      <c r="CS15" s="103">
        <v>0</v>
      </c>
      <c r="CT15" s="103">
        <v>0</v>
      </c>
      <c r="CU15" s="103">
        <v>1</v>
      </c>
      <c r="CV15" s="103">
        <v>0</v>
      </c>
      <c r="CW15" s="103">
        <v>0</v>
      </c>
      <c r="CX15" s="103">
        <v>0</v>
      </c>
      <c r="CY15" s="103">
        <v>0</v>
      </c>
      <c r="CZ15" s="103">
        <v>0</v>
      </c>
      <c r="DA15" s="103">
        <v>0</v>
      </c>
      <c r="DB15" s="103">
        <v>0</v>
      </c>
      <c r="DC15" s="103">
        <v>1</v>
      </c>
      <c r="DD15" s="103">
        <v>0</v>
      </c>
      <c r="DE15" s="103">
        <v>0</v>
      </c>
      <c r="DF15" s="103">
        <v>0</v>
      </c>
      <c r="DG15" s="103">
        <v>0</v>
      </c>
      <c r="DH15" s="103">
        <v>0</v>
      </c>
      <c r="DI15" s="185">
        <v>0</v>
      </c>
      <c r="DJ15" s="185">
        <v>0</v>
      </c>
      <c r="DK15" s="185">
        <v>0</v>
      </c>
      <c r="DL15" s="103">
        <v>0</v>
      </c>
      <c r="DM15" s="103">
        <v>0</v>
      </c>
      <c r="DN15" s="103">
        <v>0</v>
      </c>
      <c r="DO15" s="103">
        <v>0</v>
      </c>
      <c r="DP15" s="103">
        <v>0</v>
      </c>
      <c r="DQ15" s="103">
        <v>0</v>
      </c>
      <c r="DR15" s="103">
        <v>0</v>
      </c>
      <c r="DS15" s="103">
        <v>0</v>
      </c>
      <c r="DT15" s="103">
        <v>0</v>
      </c>
      <c r="DU15" s="103">
        <v>0</v>
      </c>
      <c r="DV15" s="103">
        <v>0</v>
      </c>
      <c r="DW15" s="103">
        <v>0</v>
      </c>
      <c r="DX15" s="103">
        <v>0</v>
      </c>
      <c r="DY15" s="103">
        <v>0</v>
      </c>
      <c r="DZ15" s="103">
        <v>0</v>
      </c>
      <c r="EA15" s="103">
        <v>0</v>
      </c>
      <c r="EB15" s="103">
        <v>0</v>
      </c>
      <c r="EC15" s="103">
        <v>0</v>
      </c>
      <c r="ED15" s="103">
        <v>0</v>
      </c>
      <c r="EE15" s="103">
        <v>0</v>
      </c>
      <c r="EF15" s="103">
        <v>0</v>
      </c>
      <c r="EG15" s="103">
        <v>0</v>
      </c>
      <c r="EH15" s="103">
        <v>0</v>
      </c>
      <c r="EI15" s="103">
        <v>0</v>
      </c>
      <c r="EJ15" s="103">
        <v>0</v>
      </c>
      <c r="EK15" s="103">
        <v>0</v>
      </c>
      <c r="EL15" s="103">
        <v>0</v>
      </c>
      <c r="EM15" s="103">
        <v>0</v>
      </c>
      <c r="EN15" s="103">
        <v>0</v>
      </c>
      <c r="EO15" s="103">
        <v>0</v>
      </c>
      <c r="EP15" s="103">
        <v>0</v>
      </c>
      <c r="EQ15" s="103">
        <v>0</v>
      </c>
      <c r="ER15" s="103">
        <v>1</v>
      </c>
      <c r="ES15" s="103">
        <v>0</v>
      </c>
      <c r="ET15" s="103">
        <v>0</v>
      </c>
      <c r="EU15" s="103">
        <v>0</v>
      </c>
      <c r="EV15" s="103">
        <v>0</v>
      </c>
      <c r="EW15" s="103">
        <v>0</v>
      </c>
      <c r="EX15" s="103">
        <v>0</v>
      </c>
      <c r="EY15" s="103">
        <v>0</v>
      </c>
      <c r="EZ15" s="103">
        <v>0</v>
      </c>
      <c r="FA15" s="103">
        <v>0</v>
      </c>
      <c r="FB15" s="103">
        <v>0</v>
      </c>
      <c r="FC15" s="103">
        <v>0</v>
      </c>
      <c r="FD15" s="103">
        <v>0</v>
      </c>
      <c r="FE15" s="103">
        <v>0</v>
      </c>
      <c r="FF15" s="103">
        <v>0</v>
      </c>
      <c r="FG15" s="103">
        <v>0</v>
      </c>
      <c r="FH15" s="103">
        <v>0</v>
      </c>
      <c r="FI15" s="103">
        <v>0</v>
      </c>
      <c r="FJ15" s="103">
        <v>0</v>
      </c>
      <c r="FK15" s="103">
        <v>0</v>
      </c>
      <c r="FL15" s="103">
        <v>0</v>
      </c>
      <c r="FM15" s="103">
        <v>0</v>
      </c>
      <c r="FN15" s="103">
        <v>0</v>
      </c>
      <c r="FO15" s="103">
        <v>0</v>
      </c>
    </row>
    <row r="16" spans="1:171" s="161" customFormat="1" ht="14.45" x14ac:dyDescent="0.3">
      <c r="A16" s="149" t="s">
        <v>29</v>
      </c>
      <c r="B16" s="172" t="str">
        <f t="shared" si="0"/>
        <v>INN3x67C-HP09</v>
      </c>
      <c r="C16" s="150"/>
      <c r="D16" s="150"/>
      <c r="E16" s="176" t="s">
        <v>414</v>
      </c>
      <c r="F16" s="151"/>
      <c r="G16" s="151"/>
      <c r="H16" s="151"/>
      <c r="I16" s="152">
        <v>6</v>
      </c>
      <c r="J16" s="152">
        <v>7</v>
      </c>
      <c r="K16" s="153">
        <v>7</v>
      </c>
      <c r="L16" s="154">
        <v>7</v>
      </c>
      <c r="M16" s="155">
        <v>115</v>
      </c>
      <c r="N16" s="156">
        <v>1450</v>
      </c>
      <c r="O16" s="155">
        <v>9.1</v>
      </c>
      <c r="P16" s="156">
        <v>25</v>
      </c>
      <c r="Q16" s="156">
        <v>0</v>
      </c>
      <c r="R16" s="156">
        <v>0</v>
      </c>
      <c r="S16" s="156">
        <v>0</v>
      </c>
      <c r="T16" s="156">
        <v>0</v>
      </c>
      <c r="U16" s="156">
        <v>0</v>
      </c>
      <c r="V16" s="156">
        <v>0</v>
      </c>
      <c r="W16" s="156">
        <v>0</v>
      </c>
      <c r="X16" s="156">
        <v>1</v>
      </c>
      <c r="Y16" s="156">
        <v>0</v>
      </c>
      <c r="Z16" s="156">
        <v>0</v>
      </c>
      <c r="AA16" s="156">
        <v>0</v>
      </c>
      <c r="AB16" s="156">
        <v>0</v>
      </c>
      <c r="AC16" s="156">
        <v>1</v>
      </c>
      <c r="AD16" s="157" t="s">
        <v>32</v>
      </c>
      <c r="AE16" s="156">
        <v>0</v>
      </c>
      <c r="AF16" s="158">
        <v>0</v>
      </c>
      <c r="AG16" s="159">
        <v>675</v>
      </c>
      <c r="AH16" s="160">
        <v>630</v>
      </c>
      <c r="AI16" s="156">
        <v>8</v>
      </c>
      <c r="AJ16" s="156">
        <v>0</v>
      </c>
      <c r="AK16" s="156">
        <v>21</v>
      </c>
      <c r="AL16" s="156">
        <v>10</v>
      </c>
      <c r="AM16" s="156">
        <v>0</v>
      </c>
      <c r="AN16" s="156">
        <v>0</v>
      </c>
      <c r="AO16" s="162">
        <v>132</v>
      </c>
      <c r="AP16" s="163">
        <v>3.2000000000000001E-2</v>
      </c>
      <c r="AQ16" s="164">
        <v>5</v>
      </c>
      <c r="AR16" s="103">
        <v>0</v>
      </c>
      <c r="AS16" s="103">
        <v>0</v>
      </c>
      <c r="AT16" s="103">
        <v>0</v>
      </c>
      <c r="AU16" s="103">
        <v>0</v>
      </c>
      <c r="AV16" s="103">
        <v>0</v>
      </c>
      <c r="AW16" s="103">
        <v>0</v>
      </c>
      <c r="AX16" s="103">
        <v>0</v>
      </c>
      <c r="AY16" s="103">
        <v>0</v>
      </c>
      <c r="AZ16" s="103">
        <v>0</v>
      </c>
      <c r="BA16" s="103">
        <v>0</v>
      </c>
      <c r="BB16" s="103">
        <v>0</v>
      </c>
      <c r="BC16" s="103">
        <v>0</v>
      </c>
      <c r="BD16" s="103">
        <v>0</v>
      </c>
      <c r="BE16" s="103">
        <v>0</v>
      </c>
      <c r="BF16" s="103">
        <v>0</v>
      </c>
      <c r="BG16" s="103">
        <v>0</v>
      </c>
      <c r="BH16" s="103">
        <v>0</v>
      </c>
      <c r="BI16" s="103">
        <v>0</v>
      </c>
      <c r="BJ16" s="103">
        <v>0</v>
      </c>
      <c r="BK16" s="103">
        <v>0</v>
      </c>
      <c r="BL16" s="103">
        <v>0</v>
      </c>
      <c r="BM16" s="103">
        <v>0</v>
      </c>
      <c r="BN16" s="103">
        <v>0</v>
      </c>
      <c r="BO16" s="103">
        <v>1</v>
      </c>
      <c r="BP16" s="103">
        <v>0</v>
      </c>
      <c r="BQ16" s="103">
        <v>0</v>
      </c>
      <c r="BR16" s="103">
        <v>0</v>
      </c>
      <c r="BS16" s="103">
        <v>1</v>
      </c>
      <c r="BT16" s="103">
        <v>0</v>
      </c>
      <c r="BU16" s="103">
        <v>0</v>
      </c>
      <c r="BV16" s="103">
        <v>0</v>
      </c>
      <c r="BW16" s="103">
        <v>0</v>
      </c>
      <c r="BX16" s="103">
        <v>0</v>
      </c>
      <c r="BY16" s="103">
        <v>0</v>
      </c>
      <c r="BZ16" s="103">
        <v>0</v>
      </c>
      <c r="CA16" s="103">
        <v>0</v>
      </c>
      <c r="CB16" s="103">
        <v>0</v>
      </c>
      <c r="CC16" s="103">
        <v>0</v>
      </c>
      <c r="CD16" s="103">
        <v>1</v>
      </c>
      <c r="CE16" s="103">
        <v>0</v>
      </c>
      <c r="CF16" s="103">
        <v>0</v>
      </c>
      <c r="CG16" s="103">
        <v>0</v>
      </c>
      <c r="CH16" s="103">
        <v>0</v>
      </c>
      <c r="CI16" s="103">
        <v>0</v>
      </c>
      <c r="CJ16" s="103">
        <v>0</v>
      </c>
      <c r="CK16" s="103">
        <v>0</v>
      </c>
      <c r="CL16" s="103">
        <v>0</v>
      </c>
      <c r="CM16" s="103">
        <v>0</v>
      </c>
      <c r="CN16" s="103">
        <v>0</v>
      </c>
      <c r="CO16" s="103">
        <v>0</v>
      </c>
      <c r="CP16" s="103">
        <v>0</v>
      </c>
      <c r="CQ16" s="103">
        <v>0</v>
      </c>
      <c r="CR16" s="103">
        <v>0</v>
      </c>
      <c r="CS16" s="103">
        <v>0</v>
      </c>
      <c r="CT16" s="103">
        <v>0</v>
      </c>
      <c r="CU16" s="103">
        <v>1</v>
      </c>
      <c r="CV16" s="103">
        <v>0</v>
      </c>
      <c r="CW16" s="103">
        <v>0</v>
      </c>
      <c r="CX16" s="103">
        <v>0</v>
      </c>
      <c r="CY16" s="103">
        <v>0</v>
      </c>
      <c r="CZ16" s="103">
        <v>0</v>
      </c>
      <c r="DA16" s="103">
        <v>0</v>
      </c>
      <c r="DB16" s="103">
        <v>0</v>
      </c>
      <c r="DC16" s="103">
        <v>1</v>
      </c>
      <c r="DD16" s="103">
        <v>0</v>
      </c>
      <c r="DE16" s="103">
        <v>0</v>
      </c>
      <c r="DF16" s="103">
        <v>0</v>
      </c>
      <c r="DG16" s="103">
        <v>0</v>
      </c>
      <c r="DH16" s="103">
        <v>0</v>
      </c>
      <c r="DI16" s="185">
        <v>0</v>
      </c>
      <c r="DJ16" s="185">
        <v>0</v>
      </c>
      <c r="DK16" s="185">
        <v>0</v>
      </c>
      <c r="DL16" s="103">
        <v>0</v>
      </c>
      <c r="DM16" s="103">
        <v>0</v>
      </c>
      <c r="DN16" s="103">
        <v>0</v>
      </c>
      <c r="DO16" s="103">
        <v>0</v>
      </c>
      <c r="DP16" s="103">
        <v>0</v>
      </c>
      <c r="DQ16" s="103">
        <v>0</v>
      </c>
      <c r="DR16" s="103">
        <v>0</v>
      </c>
      <c r="DS16" s="103">
        <v>0</v>
      </c>
      <c r="DT16" s="103">
        <v>0</v>
      </c>
      <c r="DU16" s="103">
        <v>0</v>
      </c>
      <c r="DV16" s="103">
        <v>0</v>
      </c>
      <c r="DW16" s="103">
        <v>0</v>
      </c>
      <c r="DX16" s="103">
        <v>0</v>
      </c>
      <c r="DY16" s="103">
        <v>0</v>
      </c>
      <c r="DZ16" s="103">
        <v>0</v>
      </c>
      <c r="EA16" s="103">
        <v>0</v>
      </c>
      <c r="EB16" s="103">
        <v>0</v>
      </c>
      <c r="EC16" s="103">
        <v>0</v>
      </c>
      <c r="ED16" s="103">
        <v>0</v>
      </c>
      <c r="EE16" s="103">
        <v>0</v>
      </c>
      <c r="EF16" s="103">
        <v>0</v>
      </c>
      <c r="EG16" s="103">
        <v>0</v>
      </c>
      <c r="EH16" s="103">
        <v>0</v>
      </c>
      <c r="EI16" s="103">
        <v>0</v>
      </c>
      <c r="EJ16" s="103">
        <v>0</v>
      </c>
      <c r="EK16" s="103">
        <v>0</v>
      </c>
      <c r="EL16" s="103">
        <v>0</v>
      </c>
      <c r="EM16" s="103">
        <v>0</v>
      </c>
      <c r="EN16" s="103">
        <v>0</v>
      </c>
      <c r="EO16" s="103">
        <v>0</v>
      </c>
      <c r="EP16" s="103">
        <v>0</v>
      </c>
      <c r="EQ16" s="103">
        <v>0</v>
      </c>
      <c r="ER16" s="103">
        <v>1</v>
      </c>
      <c r="ES16" s="103">
        <v>0</v>
      </c>
      <c r="ET16" s="103">
        <v>0</v>
      </c>
      <c r="EU16" s="103">
        <v>0</v>
      </c>
      <c r="EV16" s="103">
        <v>0</v>
      </c>
      <c r="EW16" s="103">
        <v>0</v>
      </c>
      <c r="EX16" s="103">
        <v>0</v>
      </c>
      <c r="EY16" s="103">
        <v>0</v>
      </c>
      <c r="EZ16" s="103">
        <v>0</v>
      </c>
      <c r="FA16" s="103">
        <v>0</v>
      </c>
      <c r="FB16" s="103">
        <v>0</v>
      </c>
      <c r="FC16" s="103">
        <v>0</v>
      </c>
      <c r="FD16" s="103">
        <v>0</v>
      </c>
      <c r="FE16" s="103">
        <v>0</v>
      </c>
      <c r="FF16" s="103">
        <v>0</v>
      </c>
      <c r="FG16" s="103">
        <v>0</v>
      </c>
      <c r="FH16" s="103">
        <v>0</v>
      </c>
      <c r="FI16" s="103">
        <v>0</v>
      </c>
      <c r="FJ16" s="103">
        <v>0</v>
      </c>
      <c r="FK16" s="103">
        <v>0</v>
      </c>
      <c r="FL16" s="103">
        <v>0</v>
      </c>
      <c r="FM16" s="103">
        <v>0</v>
      </c>
      <c r="FN16" s="103">
        <v>0</v>
      </c>
      <c r="FO16" s="103">
        <v>0</v>
      </c>
    </row>
    <row r="17" spans="1:171" s="161" customFormat="1" ht="14.45" x14ac:dyDescent="0.3">
      <c r="A17" s="149" t="s">
        <v>29</v>
      </c>
      <c r="B17" s="172" t="str">
        <f t="shared" si="0"/>
        <v>INN3x68C-HP10</v>
      </c>
      <c r="C17" s="150"/>
      <c r="D17" s="150"/>
      <c r="E17" s="176" t="s">
        <v>415</v>
      </c>
      <c r="F17" s="151"/>
      <c r="G17" s="151"/>
      <c r="H17" s="151"/>
      <c r="I17" s="152">
        <v>6</v>
      </c>
      <c r="J17" s="152">
        <v>8</v>
      </c>
      <c r="K17" s="153">
        <v>8</v>
      </c>
      <c r="L17" s="154">
        <v>8</v>
      </c>
      <c r="M17" s="155">
        <v>115</v>
      </c>
      <c r="N17" s="156">
        <v>1650</v>
      </c>
      <c r="O17" s="155">
        <v>9.1</v>
      </c>
      <c r="P17" s="156">
        <v>25</v>
      </c>
      <c r="Q17" s="156">
        <v>0</v>
      </c>
      <c r="R17" s="156">
        <v>0</v>
      </c>
      <c r="S17" s="156">
        <v>0</v>
      </c>
      <c r="T17" s="156">
        <v>0</v>
      </c>
      <c r="U17" s="156">
        <v>0</v>
      </c>
      <c r="V17" s="156">
        <v>0</v>
      </c>
      <c r="W17" s="156">
        <v>0</v>
      </c>
      <c r="X17" s="156">
        <v>1</v>
      </c>
      <c r="Y17" s="156">
        <v>0</v>
      </c>
      <c r="Z17" s="156">
        <v>0</v>
      </c>
      <c r="AA17" s="156">
        <v>0</v>
      </c>
      <c r="AB17" s="156">
        <v>0</v>
      </c>
      <c r="AC17" s="156">
        <v>1</v>
      </c>
      <c r="AD17" s="157" t="s">
        <v>32</v>
      </c>
      <c r="AE17" s="156">
        <v>0</v>
      </c>
      <c r="AF17" s="158">
        <v>0</v>
      </c>
      <c r="AG17" s="159">
        <v>675</v>
      </c>
      <c r="AH17" s="160">
        <v>630</v>
      </c>
      <c r="AI17" s="156">
        <v>13</v>
      </c>
      <c r="AJ17" s="156">
        <v>0</v>
      </c>
      <c r="AK17" s="156">
        <v>17</v>
      </c>
      <c r="AL17" s="156">
        <v>11</v>
      </c>
      <c r="AM17" s="156">
        <v>0</v>
      </c>
      <c r="AN17" s="156">
        <v>0</v>
      </c>
      <c r="AO17" s="162">
        <v>132</v>
      </c>
      <c r="AP17" s="163">
        <v>3.2000000000000001E-2</v>
      </c>
      <c r="AQ17" s="164">
        <v>5</v>
      </c>
      <c r="AR17" s="103">
        <v>0</v>
      </c>
      <c r="AS17" s="103">
        <v>0</v>
      </c>
      <c r="AT17" s="103">
        <v>0</v>
      </c>
      <c r="AU17" s="103">
        <v>0</v>
      </c>
      <c r="AV17" s="103">
        <v>0</v>
      </c>
      <c r="AW17" s="103">
        <v>0</v>
      </c>
      <c r="AX17" s="103">
        <v>0</v>
      </c>
      <c r="AY17" s="103">
        <v>0</v>
      </c>
      <c r="AZ17" s="103">
        <v>0</v>
      </c>
      <c r="BA17" s="103">
        <v>0</v>
      </c>
      <c r="BB17" s="103">
        <v>0</v>
      </c>
      <c r="BC17" s="103">
        <v>0</v>
      </c>
      <c r="BD17" s="103">
        <v>0</v>
      </c>
      <c r="BE17" s="103">
        <v>0</v>
      </c>
      <c r="BF17" s="103">
        <v>0</v>
      </c>
      <c r="BG17" s="103">
        <v>0</v>
      </c>
      <c r="BH17" s="103">
        <v>0</v>
      </c>
      <c r="BI17" s="103">
        <v>0</v>
      </c>
      <c r="BJ17" s="103">
        <v>0</v>
      </c>
      <c r="BK17" s="103">
        <v>0</v>
      </c>
      <c r="BL17" s="103">
        <v>0</v>
      </c>
      <c r="BM17" s="103">
        <v>0</v>
      </c>
      <c r="BN17" s="103">
        <v>0</v>
      </c>
      <c r="BO17" s="103">
        <v>1</v>
      </c>
      <c r="BP17" s="103">
        <v>0</v>
      </c>
      <c r="BQ17" s="103">
        <v>0</v>
      </c>
      <c r="BR17" s="103">
        <v>0</v>
      </c>
      <c r="BS17" s="103">
        <v>1</v>
      </c>
      <c r="BT17" s="103">
        <v>0</v>
      </c>
      <c r="BU17" s="103">
        <v>0</v>
      </c>
      <c r="BV17" s="103">
        <v>0</v>
      </c>
      <c r="BW17" s="103">
        <v>0</v>
      </c>
      <c r="BX17" s="103">
        <v>0</v>
      </c>
      <c r="BY17" s="103">
        <v>0</v>
      </c>
      <c r="BZ17" s="103">
        <v>0</v>
      </c>
      <c r="CA17" s="103">
        <v>0</v>
      </c>
      <c r="CB17" s="103">
        <v>0</v>
      </c>
      <c r="CC17" s="103">
        <v>0</v>
      </c>
      <c r="CD17" s="103">
        <v>1</v>
      </c>
      <c r="CE17" s="103">
        <v>0</v>
      </c>
      <c r="CF17" s="103">
        <v>0</v>
      </c>
      <c r="CG17" s="103">
        <v>0</v>
      </c>
      <c r="CH17" s="103">
        <v>0</v>
      </c>
      <c r="CI17" s="103">
        <v>0</v>
      </c>
      <c r="CJ17" s="103">
        <v>0</v>
      </c>
      <c r="CK17" s="103">
        <v>0</v>
      </c>
      <c r="CL17" s="103">
        <v>0</v>
      </c>
      <c r="CM17" s="103">
        <v>0</v>
      </c>
      <c r="CN17" s="103">
        <v>0</v>
      </c>
      <c r="CO17" s="103">
        <v>0</v>
      </c>
      <c r="CP17" s="103">
        <v>0</v>
      </c>
      <c r="CQ17" s="103">
        <v>0</v>
      </c>
      <c r="CR17" s="103">
        <v>0</v>
      </c>
      <c r="CS17" s="103">
        <v>0</v>
      </c>
      <c r="CT17" s="103">
        <v>0</v>
      </c>
      <c r="CU17" s="103">
        <v>1</v>
      </c>
      <c r="CV17" s="103">
        <v>0</v>
      </c>
      <c r="CW17" s="103">
        <v>0</v>
      </c>
      <c r="CX17" s="103">
        <v>0</v>
      </c>
      <c r="CY17" s="103">
        <v>0</v>
      </c>
      <c r="CZ17" s="103">
        <v>0</v>
      </c>
      <c r="DA17" s="103">
        <v>0</v>
      </c>
      <c r="DB17" s="103">
        <v>0</v>
      </c>
      <c r="DC17" s="103">
        <v>1</v>
      </c>
      <c r="DD17" s="103">
        <v>0</v>
      </c>
      <c r="DE17" s="103">
        <v>0</v>
      </c>
      <c r="DF17" s="103">
        <v>0</v>
      </c>
      <c r="DG17" s="103">
        <v>0</v>
      </c>
      <c r="DH17" s="103">
        <v>0</v>
      </c>
      <c r="DI17" s="185">
        <v>0</v>
      </c>
      <c r="DJ17" s="185">
        <v>0</v>
      </c>
      <c r="DK17" s="185">
        <v>0</v>
      </c>
      <c r="DL17" s="103">
        <v>0</v>
      </c>
      <c r="DM17" s="103">
        <v>0</v>
      </c>
      <c r="DN17" s="103">
        <v>0</v>
      </c>
      <c r="DO17" s="103">
        <v>0</v>
      </c>
      <c r="DP17" s="103">
        <v>0</v>
      </c>
      <c r="DQ17" s="103">
        <v>0</v>
      </c>
      <c r="DR17" s="103">
        <v>0</v>
      </c>
      <c r="DS17" s="103">
        <v>0</v>
      </c>
      <c r="DT17" s="103">
        <v>0</v>
      </c>
      <c r="DU17" s="103">
        <v>0</v>
      </c>
      <c r="DV17" s="103">
        <v>0</v>
      </c>
      <c r="DW17" s="103">
        <v>0</v>
      </c>
      <c r="DX17" s="103">
        <v>0</v>
      </c>
      <c r="DY17" s="103">
        <v>0</v>
      </c>
      <c r="DZ17" s="103">
        <v>0</v>
      </c>
      <c r="EA17" s="103">
        <v>0</v>
      </c>
      <c r="EB17" s="103">
        <v>0</v>
      </c>
      <c r="EC17" s="103">
        <v>0</v>
      </c>
      <c r="ED17" s="103">
        <v>0</v>
      </c>
      <c r="EE17" s="103">
        <v>0</v>
      </c>
      <c r="EF17" s="103">
        <v>0</v>
      </c>
      <c r="EG17" s="103">
        <v>0</v>
      </c>
      <c r="EH17" s="103">
        <v>0</v>
      </c>
      <c r="EI17" s="103">
        <v>0</v>
      </c>
      <c r="EJ17" s="103">
        <v>0</v>
      </c>
      <c r="EK17" s="103">
        <v>0</v>
      </c>
      <c r="EL17" s="103">
        <v>0</v>
      </c>
      <c r="EM17" s="103">
        <v>0</v>
      </c>
      <c r="EN17" s="103">
        <v>0</v>
      </c>
      <c r="EO17" s="103">
        <v>0</v>
      </c>
      <c r="EP17" s="103">
        <v>0</v>
      </c>
      <c r="EQ17" s="103">
        <v>0</v>
      </c>
      <c r="ER17" s="103">
        <v>1</v>
      </c>
      <c r="ES17" s="103">
        <v>0</v>
      </c>
      <c r="ET17" s="103">
        <v>0</v>
      </c>
      <c r="EU17" s="103">
        <v>0</v>
      </c>
      <c r="EV17" s="103">
        <v>0</v>
      </c>
      <c r="EW17" s="103">
        <v>0</v>
      </c>
      <c r="EX17" s="103">
        <v>0</v>
      </c>
      <c r="EY17" s="103">
        <v>0</v>
      </c>
      <c r="EZ17" s="103">
        <v>0</v>
      </c>
      <c r="FA17" s="103">
        <v>0</v>
      </c>
      <c r="FB17" s="103">
        <v>0</v>
      </c>
      <c r="FC17" s="103">
        <v>0</v>
      </c>
      <c r="FD17" s="103">
        <v>0</v>
      </c>
      <c r="FE17" s="103">
        <v>0</v>
      </c>
      <c r="FF17" s="103">
        <v>0</v>
      </c>
      <c r="FG17" s="103">
        <v>0</v>
      </c>
      <c r="FH17" s="103">
        <v>0</v>
      </c>
      <c r="FI17" s="103">
        <v>0</v>
      </c>
      <c r="FJ17" s="103">
        <v>0</v>
      </c>
      <c r="FK17" s="103">
        <v>0</v>
      </c>
      <c r="FL17" s="103">
        <v>0</v>
      </c>
      <c r="FM17" s="103">
        <v>0</v>
      </c>
      <c r="FN17" s="103">
        <v>0</v>
      </c>
      <c r="FO17" s="103">
        <v>0</v>
      </c>
    </row>
    <row r="18" spans="1:171" s="126" customFormat="1" ht="14.45" x14ac:dyDescent="0.3">
      <c r="A18" s="149" t="s">
        <v>29</v>
      </c>
      <c r="B18" s="172" t="str">
        <f t="shared" si="0"/>
        <v>INN3x66C-HP11</v>
      </c>
      <c r="C18" s="150"/>
      <c r="D18" s="150"/>
      <c r="E18" s="176" t="s">
        <v>416</v>
      </c>
      <c r="F18" s="150"/>
      <c r="G18" s="151"/>
      <c r="H18" s="151"/>
      <c r="I18" s="166">
        <v>6</v>
      </c>
      <c r="J18" s="152">
        <v>6</v>
      </c>
      <c r="K18" s="167">
        <v>6</v>
      </c>
      <c r="L18" s="168">
        <v>6</v>
      </c>
      <c r="M18" s="155">
        <v>115</v>
      </c>
      <c r="N18" s="156">
        <v>1250</v>
      </c>
      <c r="O18" s="155">
        <v>9.1</v>
      </c>
      <c r="P18" s="156">
        <v>25</v>
      </c>
      <c r="Q18" s="156">
        <v>0</v>
      </c>
      <c r="R18" s="156">
        <v>0</v>
      </c>
      <c r="S18" s="156">
        <v>0</v>
      </c>
      <c r="T18" s="156">
        <v>0</v>
      </c>
      <c r="U18" s="156">
        <v>0</v>
      </c>
      <c r="V18" s="156">
        <v>0</v>
      </c>
      <c r="W18" s="156">
        <v>0</v>
      </c>
      <c r="X18" s="156">
        <v>0</v>
      </c>
      <c r="Y18" s="156">
        <v>1</v>
      </c>
      <c r="Z18" s="156">
        <v>0</v>
      </c>
      <c r="AA18" s="156">
        <v>0</v>
      </c>
      <c r="AB18" s="156">
        <v>0</v>
      </c>
      <c r="AC18" s="156">
        <v>1</v>
      </c>
      <c r="AD18" s="157" t="s">
        <v>32</v>
      </c>
      <c r="AE18" s="156">
        <v>0</v>
      </c>
      <c r="AF18" s="158">
        <v>0</v>
      </c>
      <c r="AG18" s="159">
        <v>675</v>
      </c>
      <c r="AH18" s="160">
        <v>630</v>
      </c>
      <c r="AI18" s="156">
        <v>10</v>
      </c>
      <c r="AJ18" s="156">
        <v>0</v>
      </c>
      <c r="AK18" s="156">
        <v>23</v>
      </c>
      <c r="AL18" s="156">
        <v>5</v>
      </c>
      <c r="AM18" s="156">
        <v>0</v>
      </c>
      <c r="AN18" s="156">
        <v>1</v>
      </c>
      <c r="AO18" s="162">
        <v>132</v>
      </c>
      <c r="AP18" s="163">
        <v>3.2000000000000001E-2</v>
      </c>
      <c r="AQ18" s="164">
        <v>5</v>
      </c>
      <c r="AR18" s="103">
        <v>0</v>
      </c>
      <c r="AS18" s="103">
        <v>0</v>
      </c>
      <c r="AT18" s="103">
        <v>0</v>
      </c>
      <c r="AU18" s="103">
        <v>0</v>
      </c>
      <c r="AV18" s="103">
        <v>0</v>
      </c>
      <c r="AW18" s="103">
        <v>0</v>
      </c>
      <c r="AX18" s="103">
        <v>0</v>
      </c>
      <c r="AY18" s="103">
        <v>0</v>
      </c>
      <c r="AZ18" s="103">
        <v>0</v>
      </c>
      <c r="BA18" s="103">
        <v>0</v>
      </c>
      <c r="BB18" s="103">
        <v>0</v>
      </c>
      <c r="BC18" s="103">
        <v>0</v>
      </c>
      <c r="BD18" s="103">
        <v>0</v>
      </c>
      <c r="BE18" s="103">
        <v>0</v>
      </c>
      <c r="BF18" s="103">
        <v>0</v>
      </c>
      <c r="BG18" s="103">
        <v>0</v>
      </c>
      <c r="BH18" s="103">
        <v>0</v>
      </c>
      <c r="BI18" s="103">
        <v>0</v>
      </c>
      <c r="BJ18" s="103">
        <v>0</v>
      </c>
      <c r="BK18" s="103">
        <v>0</v>
      </c>
      <c r="BL18" s="103">
        <v>0</v>
      </c>
      <c r="BM18" s="103">
        <v>0</v>
      </c>
      <c r="BN18" s="103">
        <v>0</v>
      </c>
      <c r="BO18" s="103">
        <v>1</v>
      </c>
      <c r="BP18" s="103">
        <v>0</v>
      </c>
      <c r="BQ18" s="103">
        <v>0</v>
      </c>
      <c r="BR18" s="103">
        <v>0</v>
      </c>
      <c r="BS18" s="103">
        <v>1</v>
      </c>
      <c r="BT18" s="103">
        <v>0</v>
      </c>
      <c r="BU18" s="103">
        <v>0</v>
      </c>
      <c r="BV18" s="103">
        <v>0</v>
      </c>
      <c r="BW18" s="103">
        <v>0</v>
      </c>
      <c r="BX18" s="103">
        <v>0</v>
      </c>
      <c r="BY18" s="103">
        <v>0</v>
      </c>
      <c r="BZ18" s="103">
        <v>0</v>
      </c>
      <c r="CA18" s="103">
        <v>0</v>
      </c>
      <c r="CB18" s="103">
        <v>0</v>
      </c>
      <c r="CC18" s="103">
        <v>0</v>
      </c>
      <c r="CD18" s="103">
        <v>1</v>
      </c>
      <c r="CE18" s="103">
        <v>0</v>
      </c>
      <c r="CF18" s="103">
        <v>0</v>
      </c>
      <c r="CG18" s="103">
        <v>0</v>
      </c>
      <c r="CH18" s="103">
        <v>0</v>
      </c>
      <c r="CI18" s="103">
        <v>0</v>
      </c>
      <c r="CJ18" s="103">
        <v>0</v>
      </c>
      <c r="CK18" s="103">
        <v>0</v>
      </c>
      <c r="CL18" s="103">
        <v>0</v>
      </c>
      <c r="CM18" s="103">
        <v>0</v>
      </c>
      <c r="CN18" s="103">
        <v>0</v>
      </c>
      <c r="CO18" s="103">
        <v>0</v>
      </c>
      <c r="CP18" s="103">
        <v>0</v>
      </c>
      <c r="CQ18" s="103">
        <v>0</v>
      </c>
      <c r="CR18" s="103">
        <v>0</v>
      </c>
      <c r="CS18" s="103">
        <v>0</v>
      </c>
      <c r="CT18" s="103">
        <v>0</v>
      </c>
      <c r="CU18" s="103">
        <v>1</v>
      </c>
      <c r="CV18" s="103">
        <v>0</v>
      </c>
      <c r="CW18" s="103">
        <v>0</v>
      </c>
      <c r="CX18" s="103">
        <v>0</v>
      </c>
      <c r="CY18" s="103">
        <v>0</v>
      </c>
      <c r="CZ18" s="103">
        <v>0</v>
      </c>
      <c r="DA18" s="103">
        <v>0</v>
      </c>
      <c r="DB18" s="103">
        <v>0</v>
      </c>
      <c r="DC18" s="103">
        <v>1</v>
      </c>
      <c r="DD18" s="103">
        <v>0</v>
      </c>
      <c r="DE18" s="103">
        <v>0</v>
      </c>
      <c r="DF18" s="103">
        <v>0</v>
      </c>
      <c r="DG18" s="103">
        <v>0</v>
      </c>
      <c r="DH18" s="103">
        <v>0</v>
      </c>
      <c r="DI18" s="185">
        <v>0</v>
      </c>
      <c r="DJ18" s="185">
        <v>0</v>
      </c>
      <c r="DK18" s="185">
        <v>0</v>
      </c>
      <c r="DL18" s="103">
        <v>0</v>
      </c>
      <c r="DM18" s="103">
        <v>0</v>
      </c>
      <c r="DN18" s="103">
        <v>0</v>
      </c>
      <c r="DO18" s="103">
        <v>0</v>
      </c>
      <c r="DP18" s="103">
        <v>0</v>
      </c>
      <c r="DQ18" s="103">
        <v>0</v>
      </c>
      <c r="DR18" s="103">
        <v>0</v>
      </c>
      <c r="DS18" s="103">
        <v>0</v>
      </c>
      <c r="DT18" s="103">
        <v>0</v>
      </c>
      <c r="DU18" s="103">
        <v>0</v>
      </c>
      <c r="DV18" s="103">
        <v>0</v>
      </c>
      <c r="DW18" s="103">
        <v>0</v>
      </c>
      <c r="DX18" s="103">
        <v>0</v>
      </c>
      <c r="DY18" s="103">
        <v>0</v>
      </c>
      <c r="DZ18" s="103">
        <v>0</v>
      </c>
      <c r="EA18" s="103">
        <v>0</v>
      </c>
      <c r="EB18" s="103">
        <v>0</v>
      </c>
      <c r="EC18" s="103">
        <v>0</v>
      </c>
      <c r="ED18" s="103">
        <v>0</v>
      </c>
      <c r="EE18" s="103">
        <v>0</v>
      </c>
      <c r="EF18" s="103">
        <v>0</v>
      </c>
      <c r="EG18" s="103">
        <v>0</v>
      </c>
      <c r="EH18" s="103">
        <v>0</v>
      </c>
      <c r="EI18" s="103">
        <v>0</v>
      </c>
      <c r="EJ18" s="103">
        <v>0</v>
      </c>
      <c r="EK18" s="103">
        <v>0</v>
      </c>
      <c r="EL18" s="103">
        <v>0</v>
      </c>
      <c r="EM18" s="103">
        <v>0</v>
      </c>
      <c r="EN18" s="103">
        <v>0</v>
      </c>
      <c r="EO18" s="103">
        <v>0</v>
      </c>
      <c r="EP18" s="103">
        <v>0</v>
      </c>
      <c r="EQ18" s="103">
        <v>0</v>
      </c>
      <c r="ER18" s="103">
        <v>1</v>
      </c>
      <c r="ES18" s="103">
        <v>0</v>
      </c>
      <c r="ET18" s="103">
        <v>0</v>
      </c>
      <c r="EU18" s="103">
        <v>0</v>
      </c>
      <c r="EV18" s="103">
        <v>0</v>
      </c>
      <c r="EW18" s="103">
        <v>0</v>
      </c>
      <c r="EX18" s="103">
        <v>0</v>
      </c>
      <c r="EY18" s="103">
        <v>0</v>
      </c>
      <c r="EZ18" s="103">
        <v>0</v>
      </c>
      <c r="FA18" s="103">
        <v>0</v>
      </c>
      <c r="FB18" s="103">
        <v>0</v>
      </c>
      <c r="FC18" s="103">
        <v>0</v>
      </c>
      <c r="FD18" s="103">
        <v>0</v>
      </c>
      <c r="FE18" s="103">
        <v>0</v>
      </c>
      <c r="FF18" s="103">
        <v>0</v>
      </c>
      <c r="FG18" s="103">
        <v>0</v>
      </c>
      <c r="FH18" s="103">
        <v>0</v>
      </c>
      <c r="FI18" s="103">
        <v>0</v>
      </c>
      <c r="FJ18" s="103">
        <v>0</v>
      </c>
      <c r="FK18" s="103">
        <v>0</v>
      </c>
      <c r="FL18" s="103">
        <v>0</v>
      </c>
      <c r="FM18" s="103">
        <v>0</v>
      </c>
      <c r="FN18" s="103">
        <v>0</v>
      </c>
      <c r="FO18" s="103">
        <v>0</v>
      </c>
    </row>
    <row r="19" spans="1:171" s="174" customFormat="1" ht="14.45" x14ac:dyDescent="0.3">
      <c r="A19" s="175" t="s">
        <v>29</v>
      </c>
      <c r="B19" s="172" t="str">
        <f t="shared" si="0"/>
        <v>INN3x65C-HP12</v>
      </c>
      <c r="C19" s="176"/>
      <c r="D19" s="176"/>
      <c r="E19" s="176" t="s">
        <v>417</v>
      </c>
      <c r="F19" s="177"/>
      <c r="G19" s="177"/>
      <c r="H19" s="177"/>
      <c r="I19" s="178">
        <v>6</v>
      </c>
      <c r="J19" s="178">
        <v>5</v>
      </c>
      <c r="K19" s="153">
        <v>5</v>
      </c>
      <c r="L19" s="154">
        <v>5</v>
      </c>
      <c r="M19" s="179">
        <v>115</v>
      </c>
      <c r="N19" s="180">
        <v>950</v>
      </c>
      <c r="O19" s="179">
        <v>9.1</v>
      </c>
      <c r="P19" s="180">
        <v>25</v>
      </c>
      <c r="Q19" s="180">
        <v>0</v>
      </c>
      <c r="R19" s="180">
        <v>0</v>
      </c>
      <c r="S19" s="180">
        <v>0</v>
      </c>
      <c r="T19" s="180">
        <v>0</v>
      </c>
      <c r="U19" s="180">
        <v>0</v>
      </c>
      <c r="V19" s="180">
        <v>0</v>
      </c>
      <c r="W19" s="180">
        <v>0</v>
      </c>
      <c r="X19" s="180">
        <v>0</v>
      </c>
      <c r="Y19" s="180">
        <v>0</v>
      </c>
      <c r="Z19" s="180">
        <v>0</v>
      </c>
      <c r="AA19" s="180">
        <v>0</v>
      </c>
      <c r="AB19" s="180">
        <v>0</v>
      </c>
      <c r="AC19" s="180">
        <v>1</v>
      </c>
      <c r="AD19" s="181" t="s">
        <v>32</v>
      </c>
      <c r="AE19" s="180">
        <v>0</v>
      </c>
      <c r="AF19" s="182">
        <v>0</v>
      </c>
      <c r="AG19" s="183">
        <v>675</v>
      </c>
      <c r="AH19" s="184">
        <v>630</v>
      </c>
      <c r="AI19" s="180">
        <v>6</v>
      </c>
      <c r="AJ19" s="180">
        <v>0</v>
      </c>
      <c r="AK19" s="180">
        <v>10</v>
      </c>
      <c r="AL19" s="180">
        <v>6</v>
      </c>
      <c r="AM19" s="180">
        <v>0</v>
      </c>
      <c r="AN19" s="180">
        <v>0</v>
      </c>
      <c r="AO19" s="162">
        <v>132</v>
      </c>
      <c r="AP19" s="163">
        <v>3.2000000000000001E-2</v>
      </c>
      <c r="AQ19" s="164">
        <v>5</v>
      </c>
      <c r="AR19" s="185">
        <v>0</v>
      </c>
      <c r="AS19" s="185">
        <v>0</v>
      </c>
      <c r="AT19" s="185">
        <v>0</v>
      </c>
      <c r="AU19" s="185">
        <v>0</v>
      </c>
      <c r="AV19" s="185">
        <v>0</v>
      </c>
      <c r="AW19" s="185">
        <v>0</v>
      </c>
      <c r="AX19" s="185">
        <v>0</v>
      </c>
      <c r="AY19" s="185">
        <v>0</v>
      </c>
      <c r="AZ19" s="185">
        <v>0</v>
      </c>
      <c r="BA19" s="185">
        <v>0</v>
      </c>
      <c r="BB19" s="185">
        <v>0</v>
      </c>
      <c r="BC19" s="185">
        <v>0</v>
      </c>
      <c r="BD19" s="185">
        <v>0</v>
      </c>
      <c r="BE19" s="185">
        <v>0</v>
      </c>
      <c r="BF19" s="185">
        <v>0</v>
      </c>
      <c r="BG19" s="185">
        <v>0</v>
      </c>
      <c r="BH19" s="185">
        <v>0</v>
      </c>
      <c r="BI19" s="185">
        <v>0</v>
      </c>
      <c r="BJ19" s="185">
        <v>0</v>
      </c>
      <c r="BK19" s="185">
        <v>0</v>
      </c>
      <c r="BL19" s="185">
        <v>0</v>
      </c>
      <c r="BM19" s="185">
        <v>0</v>
      </c>
      <c r="BN19" s="185">
        <v>0</v>
      </c>
      <c r="BO19" s="185">
        <v>1</v>
      </c>
      <c r="BP19" s="185">
        <v>0</v>
      </c>
      <c r="BQ19" s="185">
        <v>0</v>
      </c>
      <c r="BR19" s="185">
        <v>0</v>
      </c>
      <c r="BS19" s="185">
        <v>1</v>
      </c>
      <c r="BT19" s="185">
        <v>0</v>
      </c>
      <c r="BU19" s="185">
        <v>0</v>
      </c>
      <c r="BV19" s="185">
        <v>0</v>
      </c>
      <c r="BW19" s="185">
        <v>0</v>
      </c>
      <c r="BX19" s="185">
        <v>0</v>
      </c>
      <c r="BY19" s="185">
        <v>0</v>
      </c>
      <c r="BZ19" s="185">
        <v>0</v>
      </c>
      <c r="CA19" s="185">
        <v>0</v>
      </c>
      <c r="CB19" s="185">
        <v>0</v>
      </c>
      <c r="CC19" s="185">
        <v>0</v>
      </c>
      <c r="CD19" s="185">
        <v>1</v>
      </c>
      <c r="CE19" s="185">
        <v>0</v>
      </c>
      <c r="CF19" s="185">
        <v>0</v>
      </c>
      <c r="CG19" s="185">
        <v>0</v>
      </c>
      <c r="CH19" s="185">
        <v>0</v>
      </c>
      <c r="CI19" s="185">
        <v>0</v>
      </c>
      <c r="CJ19" s="185">
        <v>0</v>
      </c>
      <c r="CK19" s="185">
        <v>0</v>
      </c>
      <c r="CL19" s="185">
        <v>0</v>
      </c>
      <c r="CM19" s="185">
        <v>0</v>
      </c>
      <c r="CN19" s="185">
        <v>0</v>
      </c>
      <c r="CO19" s="185">
        <v>0</v>
      </c>
      <c r="CP19" s="185">
        <v>0</v>
      </c>
      <c r="CQ19" s="185">
        <v>0</v>
      </c>
      <c r="CR19" s="185">
        <v>0</v>
      </c>
      <c r="CS19" s="185">
        <v>0</v>
      </c>
      <c r="CT19" s="185">
        <v>0</v>
      </c>
      <c r="CU19" s="103">
        <v>1</v>
      </c>
      <c r="CV19" s="185">
        <v>0</v>
      </c>
      <c r="CW19" s="185">
        <v>0</v>
      </c>
      <c r="CX19" s="185">
        <v>0</v>
      </c>
      <c r="CY19" s="185">
        <v>0</v>
      </c>
      <c r="CZ19" s="185">
        <v>0</v>
      </c>
      <c r="DA19" s="185">
        <v>0</v>
      </c>
      <c r="DB19" s="185">
        <v>0</v>
      </c>
      <c r="DC19" s="185">
        <v>1</v>
      </c>
      <c r="DD19" s="185">
        <v>0</v>
      </c>
      <c r="DE19" s="185">
        <v>0</v>
      </c>
      <c r="DF19" s="185">
        <v>0</v>
      </c>
      <c r="DG19" s="185">
        <v>0</v>
      </c>
      <c r="DH19" s="185">
        <v>0</v>
      </c>
      <c r="DI19" s="185">
        <v>0</v>
      </c>
      <c r="DJ19" s="185">
        <v>0</v>
      </c>
      <c r="DK19" s="185">
        <v>0</v>
      </c>
      <c r="DL19" s="185">
        <v>0</v>
      </c>
      <c r="DM19" s="185">
        <v>0</v>
      </c>
      <c r="DN19" s="185">
        <v>0</v>
      </c>
      <c r="DO19" s="185">
        <v>0</v>
      </c>
      <c r="DP19" s="185">
        <v>0</v>
      </c>
      <c r="DQ19" s="185">
        <v>0</v>
      </c>
      <c r="DR19" s="185">
        <v>0</v>
      </c>
      <c r="DS19" s="185">
        <v>0</v>
      </c>
      <c r="DT19" s="103">
        <v>0</v>
      </c>
      <c r="DU19" s="103">
        <v>0</v>
      </c>
      <c r="DV19" s="103">
        <v>0</v>
      </c>
      <c r="DW19" s="103">
        <v>0</v>
      </c>
      <c r="DX19" s="103">
        <v>0</v>
      </c>
      <c r="DY19" s="103">
        <v>0</v>
      </c>
      <c r="DZ19" s="103">
        <v>0</v>
      </c>
      <c r="EA19" s="103">
        <v>0</v>
      </c>
      <c r="EB19" s="185">
        <v>0</v>
      </c>
      <c r="EC19" s="185">
        <v>0</v>
      </c>
      <c r="ED19" s="185">
        <v>0</v>
      </c>
      <c r="EE19" s="185">
        <v>0</v>
      </c>
      <c r="EF19" s="185">
        <v>0</v>
      </c>
      <c r="EG19" s="185">
        <v>0</v>
      </c>
      <c r="EH19" s="185">
        <v>0</v>
      </c>
      <c r="EI19" s="185">
        <v>0</v>
      </c>
      <c r="EJ19" s="185">
        <v>0</v>
      </c>
      <c r="EK19" s="185">
        <v>0</v>
      </c>
      <c r="EL19" s="185">
        <v>0</v>
      </c>
      <c r="EM19" s="185">
        <v>0</v>
      </c>
      <c r="EN19" s="185">
        <v>0</v>
      </c>
      <c r="EO19" s="185">
        <v>0</v>
      </c>
      <c r="EP19" s="185">
        <v>0</v>
      </c>
      <c r="EQ19" s="185">
        <v>0</v>
      </c>
      <c r="ER19" s="185">
        <v>1</v>
      </c>
      <c r="ES19" s="185">
        <v>0</v>
      </c>
      <c r="ET19" s="185">
        <v>0</v>
      </c>
      <c r="EU19" s="185">
        <v>0</v>
      </c>
      <c r="EV19" s="185">
        <v>0</v>
      </c>
      <c r="EW19" s="185">
        <v>0</v>
      </c>
      <c r="EX19" s="185">
        <v>0</v>
      </c>
      <c r="EY19" s="185">
        <v>0</v>
      </c>
      <c r="EZ19" s="185">
        <v>0</v>
      </c>
      <c r="FA19" s="185">
        <v>0</v>
      </c>
      <c r="FB19" s="185">
        <v>0</v>
      </c>
      <c r="FC19" s="185">
        <v>0</v>
      </c>
      <c r="FD19" s="185">
        <v>0</v>
      </c>
      <c r="FE19" s="185">
        <v>0</v>
      </c>
      <c r="FF19" s="185">
        <v>0</v>
      </c>
      <c r="FG19" s="185">
        <v>0</v>
      </c>
      <c r="FH19" s="185">
        <v>0</v>
      </c>
      <c r="FI19" s="185">
        <v>0</v>
      </c>
      <c r="FJ19" s="185">
        <v>0</v>
      </c>
      <c r="FK19" s="185">
        <v>0</v>
      </c>
      <c r="FL19" s="185">
        <v>0</v>
      </c>
      <c r="FM19" s="185">
        <v>0</v>
      </c>
      <c r="FN19" s="185">
        <v>0</v>
      </c>
      <c r="FO19" s="185">
        <v>0</v>
      </c>
    </row>
    <row r="20" spans="1:171" s="174" customFormat="1" ht="14.45" x14ac:dyDescent="0.3">
      <c r="A20" s="175" t="s">
        <v>29</v>
      </c>
      <c r="B20" s="172" t="str">
        <f t="shared" si="0"/>
        <v>INN3x66C-HP13</v>
      </c>
      <c r="C20" s="176"/>
      <c r="D20" s="176"/>
      <c r="E20" s="176" t="s">
        <v>418</v>
      </c>
      <c r="F20" s="177"/>
      <c r="G20" s="177"/>
      <c r="H20" s="177"/>
      <c r="I20" s="178">
        <v>6</v>
      </c>
      <c r="J20" s="178">
        <v>6</v>
      </c>
      <c r="K20" s="153">
        <v>6</v>
      </c>
      <c r="L20" s="154">
        <v>6</v>
      </c>
      <c r="M20" s="179">
        <v>115</v>
      </c>
      <c r="N20" s="180">
        <v>1250</v>
      </c>
      <c r="O20" s="179">
        <v>9.1</v>
      </c>
      <c r="P20" s="180">
        <v>25</v>
      </c>
      <c r="Q20" s="180">
        <v>0</v>
      </c>
      <c r="R20" s="180">
        <v>0</v>
      </c>
      <c r="S20" s="180">
        <v>0</v>
      </c>
      <c r="T20" s="180">
        <v>0</v>
      </c>
      <c r="U20" s="180">
        <v>0</v>
      </c>
      <c r="V20" s="180">
        <v>0</v>
      </c>
      <c r="W20" s="180">
        <v>0</v>
      </c>
      <c r="X20" s="180">
        <v>0</v>
      </c>
      <c r="Y20" s="180">
        <v>0</v>
      </c>
      <c r="Z20" s="180">
        <v>0</v>
      </c>
      <c r="AA20" s="180">
        <v>0</v>
      </c>
      <c r="AB20" s="180">
        <v>0</v>
      </c>
      <c r="AC20" s="180">
        <v>1</v>
      </c>
      <c r="AD20" s="181" t="s">
        <v>32</v>
      </c>
      <c r="AE20" s="180">
        <v>0</v>
      </c>
      <c r="AF20" s="182">
        <v>0</v>
      </c>
      <c r="AG20" s="183">
        <v>675</v>
      </c>
      <c r="AH20" s="184">
        <v>630</v>
      </c>
      <c r="AI20" s="180">
        <v>10</v>
      </c>
      <c r="AJ20" s="180">
        <v>0</v>
      </c>
      <c r="AK20" s="180">
        <v>23</v>
      </c>
      <c r="AL20" s="180">
        <v>5</v>
      </c>
      <c r="AM20" s="180">
        <v>0</v>
      </c>
      <c r="AN20" s="180">
        <v>0</v>
      </c>
      <c r="AO20" s="162">
        <v>132</v>
      </c>
      <c r="AP20" s="163">
        <v>3.2000000000000001E-2</v>
      </c>
      <c r="AQ20" s="164">
        <v>5</v>
      </c>
      <c r="AR20" s="185">
        <v>0</v>
      </c>
      <c r="AS20" s="185">
        <v>0</v>
      </c>
      <c r="AT20" s="185">
        <v>0</v>
      </c>
      <c r="AU20" s="185">
        <v>0</v>
      </c>
      <c r="AV20" s="185">
        <v>0</v>
      </c>
      <c r="AW20" s="185">
        <v>0</v>
      </c>
      <c r="AX20" s="185">
        <v>0</v>
      </c>
      <c r="AY20" s="185">
        <v>0</v>
      </c>
      <c r="AZ20" s="185">
        <v>0</v>
      </c>
      <c r="BA20" s="185">
        <v>0</v>
      </c>
      <c r="BB20" s="185">
        <v>0</v>
      </c>
      <c r="BC20" s="185">
        <v>0</v>
      </c>
      <c r="BD20" s="185">
        <v>0</v>
      </c>
      <c r="BE20" s="185">
        <v>0</v>
      </c>
      <c r="BF20" s="185">
        <v>0</v>
      </c>
      <c r="BG20" s="185">
        <v>0</v>
      </c>
      <c r="BH20" s="185">
        <v>0</v>
      </c>
      <c r="BI20" s="185">
        <v>0</v>
      </c>
      <c r="BJ20" s="185">
        <v>0</v>
      </c>
      <c r="BK20" s="185">
        <v>0</v>
      </c>
      <c r="BL20" s="185">
        <v>0</v>
      </c>
      <c r="BM20" s="185">
        <v>0</v>
      </c>
      <c r="BN20" s="185">
        <v>0</v>
      </c>
      <c r="BO20" s="185">
        <v>1</v>
      </c>
      <c r="BP20" s="185">
        <v>0</v>
      </c>
      <c r="BQ20" s="185">
        <v>0</v>
      </c>
      <c r="BR20" s="185">
        <v>0</v>
      </c>
      <c r="BS20" s="185">
        <v>1</v>
      </c>
      <c r="BT20" s="185">
        <v>0</v>
      </c>
      <c r="BU20" s="185">
        <v>0</v>
      </c>
      <c r="BV20" s="185">
        <v>0</v>
      </c>
      <c r="BW20" s="185">
        <v>0</v>
      </c>
      <c r="BX20" s="185">
        <v>0</v>
      </c>
      <c r="BY20" s="185">
        <v>0</v>
      </c>
      <c r="BZ20" s="185">
        <v>0</v>
      </c>
      <c r="CA20" s="185">
        <v>0</v>
      </c>
      <c r="CB20" s="185">
        <v>0</v>
      </c>
      <c r="CC20" s="185">
        <v>0</v>
      </c>
      <c r="CD20" s="185">
        <v>1</v>
      </c>
      <c r="CE20" s="185">
        <v>0</v>
      </c>
      <c r="CF20" s="185">
        <v>0</v>
      </c>
      <c r="CG20" s="185">
        <v>0</v>
      </c>
      <c r="CH20" s="185">
        <v>0</v>
      </c>
      <c r="CI20" s="185">
        <v>0</v>
      </c>
      <c r="CJ20" s="185">
        <v>0</v>
      </c>
      <c r="CK20" s="185">
        <v>0</v>
      </c>
      <c r="CL20" s="185">
        <v>0</v>
      </c>
      <c r="CM20" s="185">
        <v>0</v>
      </c>
      <c r="CN20" s="185">
        <v>0</v>
      </c>
      <c r="CO20" s="185">
        <v>0</v>
      </c>
      <c r="CP20" s="185">
        <v>0</v>
      </c>
      <c r="CQ20" s="185">
        <v>0</v>
      </c>
      <c r="CR20" s="185">
        <v>0</v>
      </c>
      <c r="CS20" s="185">
        <v>0</v>
      </c>
      <c r="CT20" s="185">
        <v>0</v>
      </c>
      <c r="CU20" s="103">
        <v>1</v>
      </c>
      <c r="CV20" s="185">
        <v>0</v>
      </c>
      <c r="CW20" s="185">
        <v>0</v>
      </c>
      <c r="CX20" s="185">
        <v>0</v>
      </c>
      <c r="CY20" s="185">
        <v>0</v>
      </c>
      <c r="CZ20" s="185">
        <v>0</v>
      </c>
      <c r="DA20" s="185">
        <v>0</v>
      </c>
      <c r="DB20" s="185">
        <v>0</v>
      </c>
      <c r="DC20" s="185">
        <v>1</v>
      </c>
      <c r="DD20" s="185">
        <v>0</v>
      </c>
      <c r="DE20" s="185">
        <v>0</v>
      </c>
      <c r="DF20" s="185">
        <v>0</v>
      </c>
      <c r="DG20" s="185">
        <v>0</v>
      </c>
      <c r="DH20" s="185">
        <v>0</v>
      </c>
      <c r="DI20" s="185">
        <v>0</v>
      </c>
      <c r="DJ20" s="185">
        <v>0</v>
      </c>
      <c r="DK20" s="185">
        <v>0</v>
      </c>
      <c r="DL20" s="185">
        <v>0</v>
      </c>
      <c r="DM20" s="185">
        <v>0</v>
      </c>
      <c r="DN20" s="185">
        <v>0</v>
      </c>
      <c r="DO20" s="185">
        <v>0</v>
      </c>
      <c r="DP20" s="185">
        <v>0</v>
      </c>
      <c r="DQ20" s="185">
        <v>0</v>
      </c>
      <c r="DR20" s="185">
        <v>0</v>
      </c>
      <c r="DS20" s="185">
        <v>0</v>
      </c>
      <c r="DT20" s="103">
        <v>0</v>
      </c>
      <c r="DU20" s="103">
        <v>0</v>
      </c>
      <c r="DV20" s="103">
        <v>0</v>
      </c>
      <c r="DW20" s="103">
        <v>0</v>
      </c>
      <c r="DX20" s="103">
        <v>0</v>
      </c>
      <c r="DY20" s="103">
        <v>0</v>
      </c>
      <c r="DZ20" s="103">
        <v>0</v>
      </c>
      <c r="EA20" s="103">
        <v>0</v>
      </c>
      <c r="EB20" s="185">
        <v>0</v>
      </c>
      <c r="EC20" s="185">
        <v>0</v>
      </c>
      <c r="ED20" s="185">
        <v>0</v>
      </c>
      <c r="EE20" s="185">
        <v>0</v>
      </c>
      <c r="EF20" s="185">
        <v>0</v>
      </c>
      <c r="EG20" s="185">
        <v>0</v>
      </c>
      <c r="EH20" s="185">
        <v>0</v>
      </c>
      <c r="EI20" s="185">
        <v>0</v>
      </c>
      <c r="EJ20" s="185">
        <v>0</v>
      </c>
      <c r="EK20" s="185">
        <v>0</v>
      </c>
      <c r="EL20" s="185">
        <v>0</v>
      </c>
      <c r="EM20" s="185">
        <v>0</v>
      </c>
      <c r="EN20" s="185">
        <v>0</v>
      </c>
      <c r="EO20" s="185">
        <v>0</v>
      </c>
      <c r="EP20" s="185">
        <v>0</v>
      </c>
      <c r="EQ20" s="185">
        <v>0</v>
      </c>
      <c r="ER20" s="185">
        <v>1</v>
      </c>
      <c r="ES20" s="185">
        <v>0</v>
      </c>
      <c r="ET20" s="185">
        <v>0</v>
      </c>
      <c r="EU20" s="185">
        <v>0</v>
      </c>
      <c r="EV20" s="185">
        <v>0</v>
      </c>
      <c r="EW20" s="185">
        <v>0</v>
      </c>
      <c r="EX20" s="185">
        <v>0</v>
      </c>
      <c r="EY20" s="185">
        <v>0</v>
      </c>
      <c r="EZ20" s="185">
        <v>0</v>
      </c>
      <c r="FA20" s="185">
        <v>0</v>
      </c>
      <c r="FB20" s="185">
        <v>0</v>
      </c>
      <c r="FC20" s="185">
        <v>0</v>
      </c>
      <c r="FD20" s="185">
        <v>0</v>
      </c>
      <c r="FE20" s="185">
        <v>0</v>
      </c>
      <c r="FF20" s="185">
        <v>0</v>
      </c>
      <c r="FG20" s="185">
        <v>0</v>
      </c>
      <c r="FH20" s="185">
        <v>0</v>
      </c>
      <c r="FI20" s="185">
        <v>0</v>
      </c>
      <c r="FJ20" s="185">
        <v>0</v>
      </c>
      <c r="FK20" s="185">
        <v>0</v>
      </c>
      <c r="FL20" s="185">
        <v>0</v>
      </c>
      <c r="FM20" s="185">
        <v>0</v>
      </c>
      <c r="FN20" s="185">
        <v>0</v>
      </c>
      <c r="FO20" s="185">
        <v>0</v>
      </c>
    </row>
    <row r="21" spans="1:171" s="174" customFormat="1" ht="14.45" x14ac:dyDescent="0.3">
      <c r="A21" s="175" t="s">
        <v>29</v>
      </c>
      <c r="B21" s="172" t="str">
        <f t="shared" si="0"/>
        <v>INN3x67C-HP14</v>
      </c>
      <c r="C21" s="176"/>
      <c r="D21" s="176"/>
      <c r="E21" s="176" t="s">
        <v>419</v>
      </c>
      <c r="F21" s="177"/>
      <c r="G21" s="177"/>
      <c r="H21" s="177"/>
      <c r="I21" s="178">
        <v>6</v>
      </c>
      <c r="J21" s="178">
        <v>7</v>
      </c>
      <c r="K21" s="153">
        <v>7</v>
      </c>
      <c r="L21" s="154">
        <v>7</v>
      </c>
      <c r="M21" s="179">
        <v>115</v>
      </c>
      <c r="N21" s="180">
        <v>1450</v>
      </c>
      <c r="O21" s="179">
        <v>9.1</v>
      </c>
      <c r="P21" s="180">
        <v>25</v>
      </c>
      <c r="Q21" s="180">
        <v>0</v>
      </c>
      <c r="R21" s="180">
        <v>0</v>
      </c>
      <c r="S21" s="180">
        <v>0</v>
      </c>
      <c r="T21" s="180">
        <v>0</v>
      </c>
      <c r="U21" s="180">
        <v>0</v>
      </c>
      <c r="V21" s="180">
        <v>0</v>
      </c>
      <c r="W21" s="180">
        <v>0</v>
      </c>
      <c r="X21" s="180">
        <v>0</v>
      </c>
      <c r="Y21" s="180">
        <v>0</v>
      </c>
      <c r="Z21" s="180">
        <v>0</v>
      </c>
      <c r="AA21" s="180">
        <v>0</v>
      </c>
      <c r="AB21" s="180">
        <v>0</v>
      </c>
      <c r="AC21" s="180">
        <v>1</v>
      </c>
      <c r="AD21" s="181" t="s">
        <v>32</v>
      </c>
      <c r="AE21" s="180">
        <v>0</v>
      </c>
      <c r="AF21" s="182">
        <v>0</v>
      </c>
      <c r="AG21" s="183">
        <v>675</v>
      </c>
      <c r="AH21" s="184">
        <v>630</v>
      </c>
      <c r="AI21" s="180">
        <v>8</v>
      </c>
      <c r="AJ21" s="180">
        <v>0</v>
      </c>
      <c r="AK21" s="180">
        <v>21</v>
      </c>
      <c r="AL21" s="180">
        <v>10</v>
      </c>
      <c r="AM21" s="180">
        <v>0</v>
      </c>
      <c r="AN21" s="180">
        <v>0</v>
      </c>
      <c r="AO21" s="162">
        <v>132</v>
      </c>
      <c r="AP21" s="163">
        <v>3.2000000000000001E-2</v>
      </c>
      <c r="AQ21" s="164">
        <v>5</v>
      </c>
      <c r="AR21" s="185">
        <v>0</v>
      </c>
      <c r="AS21" s="185">
        <v>0</v>
      </c>
      <c r="AT21" s="185">
        <v>0</v>
      </c>
      <c r="AU21" s="185">
        <v>0</v>
      </c>
      <c r="AV21" s="185">
        <v>0</v>
      </c>
      <c r="AW21" s="185">
        <v>0</v>
      </c>
      <c r="AX21" s="185">
        <v>0</v>
      </c>
      <c r="AY21" s="185">
        <v>0</v>
      </c>
      <c r="AZ21" s="185">
        <v>0</v>
      </c>
      <c r="BA21" s="185">
        <v>0</v>
      </c>
      <c r="BB21" s="185">
        <v>0</v>
      </c>
      <c r="BC21" s="185">
        <v>0</v>
      </c>
      <c r="BD21" s="185">
        <v>0</v>
      </c>
      <c r="BE21" s="185">
        <v>0</v>
      </c>
      <c r="BF21" s="185">
        <v>0</v>
      </c>
      <c r="BG21" s="185">
        <v>0</v>
      </c>
      <c r="BH21" s="185">
        <v>0</v>
      </c>
      <c r="BI21" s="185">
        <v>0</v>
      </c>
      <c r="BJ21" s="185">
        <v>0</v>
      </c>
      <c r="BK21" s="185">
        <v>0</v>
      </c>
      <c r="BL21" s="185">
        <v>0</v>
      </c>
      <c r="BM21" s="185">
        <v>0</v>
      </c>
      <c r="BN21" s="185">
        <v>0</v>
      </c>
      <c r="BO21" s="185">
        <v>1</v>
      </c>
      <c r="BP21" s="185">
        <v>0</v>
      </c>
      <c r="BQ21" s="185">
        <v>0</v>
      </c>
      <c r="BR21" s="185">
        <v>0</v>
      </c>
      <c r="BS21" s="185">
        <v>1</v>
      </c>
      <c r="BT21" s="185">
        <v>0</v>
      </c>
      <c r="BU21" s="185">
        <v>0</v>
      </c>
      <c r="BV21" s="185">
        <v>0</v>
      </c>
      <c r="BW21" s="185">
        <v>0</v>
      </c>
      <c r="BX21" s="185">
        <v>0</v>
      </c>
      <c r="BY21" s="185">
        <v>0</v>
      </c>
      <c r="BZ21" s="185">
        <v>0</v>
      </c>
      <c r="CA21" s="185">
        <v>0</v>
      </c>
      <c r="CB21" s="185">
        <v>0</v>
      </c>
      <c r="CC21" s="185">
        <v>0</v>
      </c>
      <c r="CD21" s="185">
        <v>1</v>
      </c>
      <c r="CE21" s="185">
        <v>0</v>
      </c>
      <c r="CF21" s="185">
        <v>0</v>
      </c>
      <c r="CG21" s="185">
        <v>0</v>
      </c>
      <c r="CH21" s="185">
        <v>0</v>
      </c>
      <c r="CI21" s="185">
        <v>0</v>
      </c>
      <c r="CJ21" s="185">
        <v>0</v>
      </c>
      <c r="CK21" s="185">
        <v>0</v>
      </c>
      <c r="CL21" s="185">
        <v>0</v>
      </c>
      <c r="CM21" s="185">
        <v>0</v>
      </c>
      <c r="CN21" s="185">
        <v>0</v>
      </c>
      <c r="CO21" s="185">
        <v>0</v>
      </c>
      <c r="CP21" s="185">
        <v>0</v>
      </c>
      <c r="CQ21" s="185">
        <v>0</v>
      </c>
      <c r="CR21" s="185">
        <v>0</v>
      </c>
      <c r="CS21" s="185">
        <v>0</v>
      </c>
      <c r="CT21" s="185">
        <v>0</v>
      </c>
      <c r="CU21" s="103">
        <v>1</v>
      </c>
      <c r="CV21" s="185">
        <v>0</v>
      </c>
      <c r="CW21" s="185">
        <v>0</v>
      </c>
      <c r="CX21" s="185">
        <v>0</v>
      </c>
      <c r="CY21" s="185">
        <v>0</v>
      </c>
      <c r="CZ21" s="185">
        <v>0</v>
      </c>
      <c r="DA21" s="185">
        <v>0</v>
      </c>
      <c r="DB21" s="185">
        <v>0</v>
      </c>
      <c r="DC21" s="185">
        <v>1</v>
      </c>
      <c r="DD21" s="185">
        <v>0</v>
      </c>
      <c r="DE21" s="185">
        <v>0</v>
      </c>
      <c r="DF21" s="185">
        <v>0</v>
      </c>
      <c r="DG21" s="185">
        <v>0</v>
      </c>
      <c r="DH21" s="185">
        <v>0</v>
      </c>
      <c r="DI21" s="185">
        <v>0</v>
      </c>
      <c r="DJ21" s="185">
        <v>0</v>
      </c>
      <c r="DK21" s="185">
        <v>0</v>
      </c>
      <c r="DL21" s="185">
        <v>0</v>
      </c>
      <c r="DM21" s="185">
        <v>0</v>
      </c>
      <c r="DN21" s="185">
        <v>0</v>
      </c>
      <c r="DO21" s="185">
        <v>0</v>
      </c>
      <c r="DP21" s="185">
        <v>0</v>
      </c>
      <c r="DQ21" s="185">
        <v>0</v>
      </c>
      <c r="DR21" s="185">
        <v>0</v>
      </c>
      <c r="DS21" s="185">
        <v>0</v>
      </c>
      <c r="DT21" s="103">
        <v>0</v>
      </c>
      <c r="DU21" s="103">
        <v>0</v>
      </c>
      <c r="DV21" s="103">
        <v>0</v>
      </c>
      <c r="DW21" s="103">
        <v>0</v>
      </c>
      <c r="DX21" s="103">
        <v>0</v>
      </c>
      <c r="DY21" s="103">
        <v>0</v>
      </c>
      <c r="DZ21" s="103">
        <v>0</v>
      </c>
      <c r="EA21" s="103">
        <v>0</v>
      </c>
      <c r="EB21" s="185">
        <v>0</v>
      </c>
      <c r="EC21" s="185">
        <v>0</v>
      </c>
      <c r="ED21" s="185">
        <v>0</v>
      </c>
      <c r="EE21" s="185">
        <v>0</v>
      </c>
      <c r="EF21" s="185">
        <v>0</v>
      </c>
      <c r="EG21" s="185">
        <v>0</v>
      </c>
      <c r="EH21" s="185">
        <v>0</v>
      </c>
      <c r="EI21" s="185">
        <v>0</v>
      </c>
      <c r="EJ21" s="185">
        <v>0</v>
      </c>
      <c r="EK21" s="185">
        <v>0</v>
      </c>
      <c r="EL21" s="185">
        <v>0</v>
      </c>
      <c r="EM21" s="185">
        <v>0</v>
      </c>
      <c r="EN21" s="185">
        <v>0</v>
      </c>
      <c r="EO21" s="185">
        <v>0</v>
      </c>
      <c r="EP21" s="185">
        <v>0</v>
      </c>
      <c r="EQ21" s="185">
        <v>0</v>
      </c>
      <c r="ER21" s="185">
        <v>1</v>
      </c>
      <c r="ES21" s="185">
        <v>0</v>
      </c>
      <c r="ET21" s="185">
        <v>0</v>
      </c>
      <c r="EU21" s="185">
        <v>0</v>
      </c>
      <c r="EV21" s="185">
        <v>0</v>
      </c>
      <c r="EW21" s="185">
        <v>0</v>
      </c>
      <c r="EX21" s="185">
        <v>0</v>
      </c>
      <c r="EY21" s="185">
        <v>0</v>
      </c>
      <c r="EZ21" s="185">
        <v>0</v>
      </c>
      <c r="FA21" s="185">
        <v>0</v>
      </c>
      <c r="FB21" s="185">
        <v>0</v>
      </c>
      <c r="FC21" s="185">
        <v>0</v>
      </c>
      <c r="FD21" s="185">
        <v>0</v>
      </c>
      <c r="FE21" s="185">
        <v>0</v>
      </c>
      <c r="FF21" s="185">
        <v>0</v>
      </c>
      <c r="FG21" s="185">
        <v>0</v>
      </c>
      <c r="FH21" s="185">
        <v>0</v>
      </c>
      <c r="FI21" s="185">
        <v>0</v>
      </c>
      <c r="FJ21" s="185">
        <v>0</v>
      </c>
      <c r="FK21" s="185">
        <v>0</v>
      </c>
      <c r="FL21" s="185">
        <v>0</v>
      </c>
      <c r="FM21" s="185">
        <v>0</v>
      </c>
      <c r="FN21" s="185">
        <v>0</v>
      </c>
      <c r="FO21" s="185">
        <v>0</v>
      </c>
    </row>
    <row r="22" spans="1:171" s="174" customFormat="1" ht="14.45" x14ac:dyDescent="0.3">
      <c r="A22" s="175" t="s">
        <v>29</v>
      </c>
      <c r="B22" s="172" t="str">
        <f t="shared" si="0"/>
        <v>INN3x68C-HP15</v>
      </c>
      <c r="C22" s="176"/>
      <c r="D22" s="176"/>
      <c r="E22" s="176" t="s">
        <v>420</v>
      </c>
      <c r="F22" s="177"/>
      <c r="G22" s="177"/>
      <c r="H22" s="177"/>
      <c r="I22" s="178">
        <v>6</v>
      </c>
      <c r="J22" s="178">
        <v>8</v>
      </c>
      <c r="K22" s="153">
        <v>8</v>
      </c>
      <c r="L22" s="154">
        <v>8</v>
      </c>
      <c r="M22" s="179">
        <v>115</v>
      </c>
      <c r="N22" s="180">
        <v>1650</v>
      </c>
      <c r="O22" s="179">
        <v>9.1</v>
      </c>
      <c r="P22" s="180">
        <v>25</v>
      </c>
      <c r="Q22" s="180">
        <v>0</v>
      </c>
      <c r="R22" s="180">
        <v>0</v>
      </c>
      <c r="S22" s="180">
        <v>0</v>
      </c>
      <c r="T22" s="180">
        <v>0</v>
      </c>
      <c r="U22" s="180">
        <v>0</v>
      </c>
      <c r="V22" s="180">
        <v>0</v>
      </c>
      <c r="W22" s="180">
        <v>0</v>
      </c>
      <c r="X22" s="180">
        <v>0</v>
      </c>
      <c r="Y22" s="180">
        <v>0</v>
      </c>
      <c r="Z22" s="180">
        <v>0</v>
      </c>
      <c r="AA22" s="180">
        <v>0</v>
      </c>
      <c r="AB22" s="180">
        <v>0</v>
      </c>
      <c r="AC22" s="180">
        <v>1</v>
      </c>
      <c r="AD22" s="181" t="s">
        <v>32</v>
      </c>
      <c r="AE22" s="180">
        <v>0</v>
      </c>
      <c r="AF22" s="182">
        <v>0</v>
      </c>
      <c r="AG22" s="183">
        <v>675</v>
      </c>
      <c r="AH22" s="184">
        <v>630</v>
      </c>
      <c r="AI22" s="180">
        <v>13</v>
      </c>
      <c r="AJ22" s="180">
        <v>0</v>
      </c>
      <c r="AK22" s="180">
        <v>17</v>
      </c>
      <c r="AL22" s="180">
        <v>11</v>
      </c>
      <c r="AM22" s="180">
        <v>0</v>
      </c>
      <c r="AN22" s="180">
        <v>0</v>
      </c>
      <c r="AO22" s="162">
        <v>132</v>
      </c>
      <c r="AP22" s="163">
        <v>3.2000000000000001E-2</v>
      </c>
      <c r="AQ22" s="164">
        <v>5</v>
      </c>
      <c r="AR22" s="185">
        <v>0</v>
      </c>
      <c r="AS22" s="185">
        <v>0</v>
      </c>
      <c r="AT22" s="185">
        <v>0</v>
      </c>
      <c r="AU22" s="185">
        <v>0</v>
      </c>
      <c r="AV22" s="185">
        <v>0</v>
      </c>
      <c r="AW22" s="185">
        <v>0</v>
      </c>
      <c r="AX22" s="185">
        <v>0</v>
      </c>
      <c r="AY22" s="185">
        <v>0</v>
      </c>
      <c r="AZ22" s="185">
        <v>0</v>
      </c>
      <c r="BA22" s="185">
        <v>0</v>
      </c>
      <c r="BB22" s="185">
        <v>0</v>
      </c>
      <c r="BC22" s="185">
        <v>0</v>
      </c>
      <c r="BD22" s="185">
        <v>0</v>
      </c>
      <c r="BE22" s="185">
        <v>0</v>
      </c>
      <c r="BF22" s="185">
        <v>0</v>
      </c>
      <c r="BG22" s="185">
        <v>0</v>
      </c>
      <c r="BH22" s="185">
        <v>0</v>
      </c>
      <c r="BI22" s="185">
        <v>0</v>
      </c>
      <c r="BJ22" s="185">
        <v>0</v>
      </c>
      <c r="BK22" s="185">
        <v>0</v>
      </c>
      <c r="BL22" s="185">
        <v>0</v>
      </c>
      <c r="BM22" s="185">
        <v>0</v>
      </c>
      <c r="BN22" s="185">
        <v>0</v>
      </c>
      <c r="BO22" s="185">
        <v>1</v>
      </c>
      <c r="BP22" s="185">
        <v>0</v>
      </c>
      <c r="BQ22" s="185">
        <v>0</v>
      </c>
      <c r="BR22" s="185">
        <v>0</v>
      </c>
      <c r="BS22" s="185">
        <v>1</v>
      </c>
      <c r="BT22" s="185">
        <v>0</v>
      </c>
      <c r="BU22" s="185">
        <v>0</v>
      </c>
      <c r="BV22" s="185">
        <v>0</v>
      </c>
      <c r="BW22" s="185">
        <v>0</v>
      </c>
      <c r="BX22" s="185">
        <v>0</v>
      </c>
      <c r="BY22" s="185">
        <v>0</v>
      </c>
      <c r="BZ22" s="185">
        <v>0</v>
      </c>
      <c r="CA22" s="185">
        <v>0</v>
      </c>
      <c r="CB22" s="185">
        <v>0</v>
      </c>
      <c r="CC22" s="185">
        <v>0</v>
      </c>
      <c r="CD22" s="185">
        <v>1</v>
      </c>
      <c r="CE22" s="185">
        <v>0</v>
      </c>
      <c r="CF22" s="185">
        <v>0</v>
      </c>
      <c r="CG22" s="185">
        <v>0</v>
      </c>
      <c r="CH22" s="185">
        <v>0</v>
      </c>
      <c r="CI22" s="185">
        <v>0</v>
      </c>
      <c r="CJ22" s="185">
        <v>0</v>
      </c>
      <c r="CK22" s="185">
        <v>0</v>
      </c>
      <c r="CL22" s="185">
        <v>0</v>
      </c>
      <c r="CM22" s="185">
        <v>0</v>
      </c>
      <c r="CN22" s="185">
        <v>0</v>
      </c>
      <c r="CO22" s="185">
        <v>0</v>
      </c>
      <c r="CP22" s="185">
        <v>0</v>
      </c>
      <c r="CQ22" s="185">
        <v>0</v>
      </c>
      <c r="CR22" s="185">
        <v>0</v>
      </c>
      <c r="CS22" s="185">
        <v>0</v>
      </c>
      <c r="CT22" s="185">
        <v>0</v>
      </c>
      <c r="CU22" s="103">
        <v>1</v>
      </c>
      <c r="CV22" s="185">
        <v>0</v>
      </c>
      <c r="CW22" s="185">
        <v>0</v>
      </c>
      <c r="CX22" s="185">
        <v>0</v>
      </c>
      <c r="CY22" s="185">
        <v>0</v>
      </c>
      <c r="CZ22" s="185">
        <v>0</v>
      </c>
      <c r="DA22" s="185">
        <v>0</v>
      </c>
      <c r="DB22" s="185">
        <v>0</v>
      </c>
      <c r="DC22" s="185">
        <v>1</v>
      </c>
      <c r="DD22" s="185">
        <v>0</v>
      </c>
      <c r="DE22" s="185">
        <v>0</v>
      </c>
      <c r="DF22" s="185">
        <v>0</v>
      </c>
      <c r="DG22" s="185">
        <v>0</v>
      </c>
      <c r="DH22" s="185">
        <v>0</v>
      </c>
      <c r="DI22" s="185">
        <v>0</v>
      </c>
      <c r="DJ22" s="185">
        <v>0</v>
      </c>
      <c r="DK22" s="185">
        <v>0</v>
      </c>
      <c r="DL22" s="185">
        <v>0</v>
      </c>
      <c r="DM22" s="185">
        <v>0</v>
      </c>
      <c r="DN22" s="185">
        <v>0</v>
      </c>
      <c r="DO22" s="185">
        <v>0</v>
      </c>
      <c r="DP22" s="185">
        <v>0</v>
      </c>
      <c r="DQ22" s="185">
        <v>0</v>
      </c>
      <c r="DR22" s="185">
        <v>0</v>
      </c>
      <c r="DS22" s="185">
        <v>0</v>
      </c>
      <c r="DT22" s="103">
        <v>0</v>
      </c>
      <c r="DU22" s="103">
        <v>0</v>
      </c>
      <c r="DV22" s="103">
        <v>0</v>
      </c>
      <c r="DW22" s="103">
        <v>0</v>
      </c>
      <c r="DX22" s="103">
        <v>0</v>
      </c>
      <c r="DY22" s="103">
        <v>0</v>
      </c>
      <c r="DZ22" s="103">
        <v>0</v>
      </c>
      <c r="EA22" s="103">
        <v>0</v>
      </c>
      <c r="EB22" s="185">
        <v>0</v>
      </c>
      <c r="EC22" s="185">
        <v>0</v>
      </c>
      <c r="ED22" s="185">
        <v>0</v>
      </c>
      <c r="EE22" s="185">
        <v>0</v>
      </c>
      <c r="EF22" s="185">
        <v>0</v>
      </c>
      <c r="EG22" s="185">
        <v>0</v>
      </c>
      <c r="EH22" s="185">
        <v>0</v>
      </c>
      <c r="EI22" s="185">
        <v>0</v>
      </c>
      <c r="EJ22" s="185">
        <v>0</v>
      </c>
      <c r="EK22" s="185">
        <v>0</v>
      </c>
      <c r="EL22" s="185">
        <v>0</v>
      </c>
      <c r="EM22" s="185">
        <v>0</v>
      </c>
      <c r="EN22" s="185">
        <v>0</v>
      </c>
      <c r="EO22" s="185">
        <v>0</v>
      </c>
      <c r="EP22" s="185">
        <v>0</v>
      </c>
      <c r="EQ22" s="185">
        <v>0</v>
      </c>
      <c r="ER22" s="185">
        <v>1</v>
      </c>
      <c r="ES22" s="185">
        <v>0</v>
      </c>
      <c r="ET22" s="185">
        <v>0</v>
      </c>
      <c r="EU22" s="185">
        <v>0</v>
      </c>
      <c r="EV22" s="185">
        <v>0</v>
      </c>
      <c r="EW22" s="185">
        <v>0</v>
      </c>
      <c r="EX22" s="185">
        <v>0</v>
      </c>
      <c r="EY22" s="185">
        <v>0</v>
      </c>
      <c r="EZ22" s="185">
        <v>0</v>
      </c>
      <c r="FA22" s="185">
        <v>0</v>
      </c>
      <c r="FB22" s="185">
        <v>0</v>
      </c>
      <c r="FC22" s="185">
        <v>0</v>
      </c>
      <c r="FD22" s="185">
        <v>0</v>
      </c>
      <c r="FE22" s="185">
        <v>0</v>
      </c>
      <c r="FF22" s="185">
        <v>0</v>
      </c>
      <c r="FG22" s="185">
        <v>0</v>
      </c>
      <c r="FH22" s="185">
        <v>0</v>
      </c>
      <c r="FI22" s="185">
        <v>0</v>
      </c>
      <c r="FJ22" s="185">
        <v>0</v>
      </c>
      <c r="FK22" s="185">
        <v>0</v>
      </c>
      <c r="FL22" s="185">
        <v>0</v>
      </c>
      <c r="FM22" s="185">
        <v>0</v>
      </c>
      <c r="FN22" s="185">
        <v>0</v>
      </c>
      <c r="FO22" s="185">
        <v>0</v>
      </c>
    </row>
    <row r="23" spans="1:171" s="174" customFormat="1" ht="14.45" x14ac:dyDescent="0.3">
      <c r="A23" s="175" t="s">
        <v>29</v>
      </c>
      <c r="B23" s="172" t="str">
        <f t="shared" si="0"/>
        <v>INN3x75C-HP16</v>
      </c>
      <c r="C23" s="176"/>
      <c r="D23" s="176"/>
      <c r="E23" s="176" t="s">
        <v>421</v>
      </c>
      <c r="F23" s="177"/>
      <c r="G23" s="177"/>
      <c r="H23" s="177"/>
      <c r="I23" s="178">
        <v>7</v>
      </c>
      <c r="J23" s="178">
        <v>5</v>
      </c>
      <c r="K23" s="153">
        <v>5</v>
      </c>
      <c r="L23" s="154">
        <v>5</v>
      </c>
      <c r="M23" s="179">
        <v>115</v>
      </c>
      <c r="N23" s="180">
        <v>950</v>
      </c>
      <c r="O23" s="179">
        <v>9.1</v>
      </c>
      <c r="P23" s="180">
        <v>25</v>
      </c>
      <c r="Q23" s="180">
        <v>0</v>
      </c>
      <c r="R23" s="180">
        <v>0</v>
      </c>
      <c r="S23" s="180">
        <v>0</v>
      </c>
      <c r="T23" s="180">
        <v>0</v>
      </c>
      <c r="U23" s="180">
        <v>0</v>
      </c>
      <c r="V23" s="180">
        <v>0</v>
      </c>
      <c r="W23" s="180">
        <v>0</v>
      </c>
      <c r="X23" s="180">
        <v>0</v>
      </c>
      <c r="Y23" s="180">
        <v>0</v>
      </c>
      <c r="Z23" s="180">
        <v>0</v>
      </c>
      <c r="AA23" s="180">
        <v>0</v>
      </c>
      <c r="AB23" s="180">
        <v>0</v>
      </c>
      <c r="AC23" s="180">
        <v>1</v>
      </c>
      <c r="AD23" s="181" t="s">
        <v>32</v>
      </c>
      <c r="AE23" s="180">
        <v>0</v>
      </c>
      <c r="AF23" s="182">
        <v>0</v>
      </c>
      <c r="AG23" s="183">
        <v>750</v>
      </c>
      <c r="AH23" s="184">
        <v>705</v>
      </c>
      <c r="AI23" s="180">
        <v>10</v>
      </c>
      <c r="AJ23" s="180">
        <v>0</v>
      </c>
      <c r="AK23" s="180">
        <v>31</v>
      </c>
      <c r="AL23" s="180">
        <v>6</v>
      </c>
      <c r="AM23" s="180">
        <v>0</v>
      </c>
      <c r="AN23" s="180">
        <v>0</v>
      </c>
      <c r="AO23" s="162">
        <v>132</v>
      </c>
      <c r="AP23" s="163">
        <v>3.2000000000000001E-2</v>
      </c>
      <c r="AQ23" s="164">
        <v>5</v>
      </c>
      <c r="AR23" s="185">
        <v>0</v>
      </c>
      <c r="AS23" s="185">
        <v>0</v>
      </c>
      <c r="AT23" s="185">
        <v>0</v>
      </c>
      <c r="AU23" s="185">
        <v>0</v>
      </c>
      <c r="AV23" s="185">
        <v>0</v>
      </c>
      <c r="AW23" s="185">
        <v>0</v>
      </c>
      <c r="AX23" s="185">
        <v>0</v>
      </c>
      <c r="AY23" s="185">
        <v>0</v>
      </c>
      <c r="AZ23" s="185">
        <v>0</v>
      </c>
      <c r="BA23" s="185">
        <v>0</v>
      </c>
      <c r="BB23" s="185">
        <v>0</v>
      </c>
      <c r="BC23" s="185">
        <v>0</v>
      </c>
      <c r="BD23" s="185">
        <v>0</v>
      </c>
      <c r="BE23" s="185">
        <v>0</v>
      </c>
      <c r="BF23" s="185">
        <v>0</v>
      </c>
      <c r="BG23" s="185">
        <v>0</v>
      </c>
      <c r="BH23" s="185">
        <v>0</v>
      </c>
      <c r="BI23" s="185">
        <v>0</v>
      </c>
      <c r="BJ23" s="185">
        <v>0</v>
      </c>
      <c r="BK23" s="185">
        <v>0</v>
      </c>
      <c r="BL23" s="185">
        <v>0</v>
      </c>
      <c r="BM23" s="185">
        <v>0</v>
      </c>
      <c r="BN23" s="185">
        <v>0</v>
      </c>
      <c r="BO23" s="185">
        <v>1</v>
      </c>
      <c r="BP23" s="185">
        <v>0</v>
      </c>
      <c r="BQ23" s="185">
        <v>0</v>
      </c>
      <c r="BR23" s="185">
        <v>0</v>
      </c>
      <c r="BS23" s="185">
        <v>1</v>
      </c>
      <c r="BT23" s="185">
        <v>0</v>
      </c>
      <c r="BU23" s="185">
        <v>0</v>
      </c>
      <c r="BV23" s="185">
        <v>0</v>
      </c>
      <c r="BW23" s="185">
        <v>0</v>
      </c>
      <c r="BX23" s="185">
        <v>0</v>
      </c>
      <c r="BY23" s="185">
        <v>0</v>
      </c>
      <c r="BZ23" s="185">
        <v>0</v>
      </c>
      <c r="CA23" s="185">
        <v>0</v>
      </c>
      <c r="CB23" s="185">
        <v>0</v>
      </c>
      <c r="CC23" s="185">
        <v>0</v>
      </c>
      <c r="CD23" s="185">
        <v>1</v>
      </c>
      <c r="CE23" s="185">
        <v>0</v>
      </c>
      <c r="CF23" s="185">
        <v>0</v>
      </c>
      <c r="CG23" s="185">
        <v>0</v>
      </c>
      <c r="CH23" s="185">
        <v>0</v>
      </c>
      <c r="CI23" s="185">
        <v>0</v>
      </c>
      <c r="CJ23" s="185">
        <v>0</v>
      </c>
      <c r="CK23" s="185">
        <v>0</v>
      </c>
      <c r="CL23" s="185">
        <v>0</v>
      </c>
      <c r="CM23" s="185">
        <v>0</v>
      </c>
      <c r="CN23" s="185">
        <v>0</v>
      </c>
      <c r="CO23" s="185">
        <v>0</v>
      </c>
      <c r="CP23" s="185">
        <v>0</v>
      </c>
      <c r="CQ23" s="185">
        <v>0</v>
      </c>
      <c r="CR23" s="185">
        <v>0</v>
      </c>
      <c r="CS23" s="185">
        <v>0</v>
      </c>
      <c r="CT23" s="185">
        <v>0</v>
      </c>
      <c r="CU23" s="103">
        <v>1</v>
      </c>
      <c r="CV23" s="185">
        <v>0</v>
      </c>
      <c r="CW23" s="185">
        <v>0</v>
      </c>
      <c r="CX23" s="185">
        <v>0</v>
      </c>
      <c r="CY23" s="185">
        <v>0</v>
      </c>
      <c r="CZ23" s="185">
        <v>0</v>
      </c>
      <c r="DA23" s="185">
        <v>0</v>
      </c>
      <c r="DB23" s="185">
        <v>0</v>
      </c>
      <c r="DC23" s="185">
        <v>1</v>
      </c>
      <c r="DD23" s="185">
        <v>0</v>
      </c>
      <c r="DE23" s="185">
        <v>0</v>
      </c>
      <c r="DF23" s="185">
        <v>0</v>
      </c>
      <c r="DG23" s="185">
        <v>0</v>
      </c>
      <c r="DH23" s="185">
        <v>0</v>
      </c>
      <c r="DI23" s="185">
        <v>0</v>
      </c>
      <c r="DJ23" s="185">
        <v>0</v>
      </c>
      <c r="DK23" s="185">
        <v>0</v>
      </c>
      <c r="DL23" s="185">
        <v>0</v>
      </c>
      <c r="DM23" s="185">
        <v>0</v>
      </c>
      <c r="DN23" s="185">
        <v>0</v>
      </c>
      <c r="DO23" s="185">
        <v>0</v>
      </c>
      <c r="DP23" s="185">
        <v>0</v>
      </c>
      <c r="DQ23" s="185">
        <v>0</v>
      </c>
      <c r="DR23" s="185">
        <v>0</v>
      </c>
      <c r="DS23" s="185">
        <v>0</v>
      </c>
      <c r="DT23" s="103">
        <v>0</v>
      </c>
      <c r="DU23" s="103">
        <v>0</v>
      </c>
      <c r="DV23" s="103">
        <v>0</v>
      </c>
      <c r="DW23" s="103">
        <v>0</v>
      </c>
      <c r="DX23" s="103">
        <v>0</v>
      </c>
      <c r="DY23" s="103">
        <v>0</v>
      </c>
      <c r="DZ23" s="103">
        <v>0</v>
      </c>
      <c r="EA23" s="103">
        <v>0</v>
      </c>
      <c r="EB23" s="185">
        <v>0</v>
      </c>
      <c r="EC23" s="185">
        <v>0</v>
      </c>
      <c r="ED23" s="185">
        <v>0</v>
      </c>
      <c r="EE23" s="185">
        <v>0</v>
      </c>
      <c r="EF23" s="185">
        <v>0</v>
      </c>
      <c r="EG23" s="185">
        <v>0</v>
      </c>
      <c r="EH23" s="185">
        <v>0</v>
      </c>
      <c r="EI23" s="185">
        <v>0</v>
      </c>
      <c r="EJ23" s="185">
        <v>0</v>
      </c>
      <c r="EK23" s="185">
        <v>0</v>
      </c>
      <c r="EL23" s="185">
        <v>0</v>
      </c>
      <c r="EM23" s="185">
        <v>0</v>
      </c>
      <c r="EN23" s="185">
        <v>0</v>
      </c>
      <c r="EO23" s="185">
        <v>0</v>
      </c>
      <c r="EP23" s="185">
        <v>0</v>
      </c>
      <c r="EQ23" s="185">
        <v>0</v>
      </c>
      <c r="ER23" s="185">
        <v>1</v>
      </c>
      <c r="ES23" s="185">
        <v>0</v>
      </c>
      <c r="ET23" s="185">
        <v>0</v>
      </c>
      <c r="EU23" s="185">
        <v>0</v>
      </c>
      <c r="EV23" s="185">
        <v>0</v>
      </c>
      <c r="EW23" s="185">
        <v>0</v>
      </c>
      <c r="EX23" s="185">
        <v>0</v>
      </c>
      <c r="EY23" s="185">
        <v>0</v>
      </c>
      <c r="EZ23" s="185">
        <v>0</v>
      </c>
      <c r="FA23" s="185">
        <v>0</v>
      </c>
      <c r="FB23" s="185">
        <v>0</v>
      </c>
      <c r="FC23" s="185">
        <v>0</v>
      </c>
      <c r="FD23" s="185">
        <v>0</v>
      </c>
      <c r="FE23" s="185">
        <v>0</v>
      </c>
      <c r="FF23" s="185">
        <v>0</v>
      </c>
      <c r="FG23" s="185">
        <v>0</v>
      </c>
      <c r="FH23" s="185">
        <v>0</v>
      </c>
      <c r="FI23" s="185">
        <v>0</v>
      </c>
      <c r="FJ23" s="185">
        <v>0</v>
      </c>
      <c r="FK23" s="185">
        <v>0</v>
      </c>
      <c r="FL23" s="185">
        <v>0</v>
      </c>
      <c r="FM23" s="185">
        <v>0</v>
      </c>
      <c r="FN23" s="185">
        <v>0</v>
      </c>
      <c r="FO23" s="185">
        <v>0</v>
      </c>
    </row>
    <row r="24" spans="1:171" s="174" customFormat="1" ht="14.45" x14ac:dyDescent="0.3">
      <c r="A24" s="175" t="s">
        <v>29</v>
      </c>
      <c r="B24" s="172" t="str">
        <f t="shared" si="0"/>
        <v>INN3x76C-HP17</v>
      </c>
      <c r="C24" s="176"/>
      <c r="D24" s="176"/>
      <c r="E24" s="176" t="s">
        <v>422</v>
      </c>
      <c r="F24" s="177"/>
      <c r="G24" s="177"/>
      <c r="H24" s="177"/>
      <c r="I24" s="178">
        <v>7</v>
      </c>
      <c r="J24" s="178">
        <v>6</v>
      </c>
      <c r="K24" s="153">
        <v>6</v>
      </c>
      <c r="L24" s="154">
        <v>6</v>
      </c>
      <c r="M24" s="179">
        <v>115</v>
      </c>
      <c r="N24" s="180">
        <v>1250</v>
      </c>
      <c r="O24" s="179">
        <v>9.1</v>
      </c>
      <c r="P24" s="180">
        <v>25</v>
      </c>
      <c r="Q24" s="180">
        <v>0</v>
      </c>
      <c r="R24" s="180">
        <v>0</v>
      </c>
      <c r="S24" s="180">
        <v>0</v>
      </c>
      <c r="T24" s="180">
        <v>0</v>
      </c>
      <c r="U24" s="180">
        <v>0</v>
      </c>
      <c r="V24" s="180">
        <v>0</v>
      </c>
      <c r="W24" s="180">
        <v>0</v>
      </c>
      <c r="X24" s="180">
        <v>0</v>
      </c>
      <c r="Y24" s="180">
        <v>0</v>
      </c>
      <c r="Z24" s="180">
        <v>0</v>
      </c>
      <c r="AA24" s="180">
        <v>0</v>
      </c>
      <c r="AB24" s="180">
        <v>0</v>
      </c>
      <c r="AC24" s="180">
        <v>1</v>
      </c>
      <c r="AD24" s="181" t="s">
        <v>32</v>
      </c>
      <c r="AE24" s="180">
        <v>0</v>
      </c>
      <c r="AF24" s="182">
        <v>0</v>
      </c>
      <c r="AG24" s="183">
        <v>750</v>
      </c>
      <c r="AH24" s="184">
        <v>705</v>
      </c>
      <c r="AI24" s="180">
        <v>9</v>
      </c>
      <c r="AJ24" s="180">
        <v>0</v>
      </c>
      <c r="AK24" s="180">
        <v>20</v>
      </c>
      <c r="AL24" s="180">
        <v>5</v>
      </c>
      <c r="AM24" s="180">
        <v>0</v>
      </c>
      <c r="AN24" s="180">
        <v>0</v>
      </c>
      <c r="AO24" s="162">
        <v>132</v>
      </c>
      <c r="AP24" s="163">
        <v>3.2000000000000001E-2</v>
      </c>
      <c r="AQ24" s="164">
        <v>5</v>
      </c>
      <c r="AR24" s="185">
        <v>0</v>
      </c>
      <c r="AS24" s="185">
        <v>0</v>
      </c>
      <c r="AT24" s="185">
        <v>0</v>
      </c>
      <c r="AU24" s="185">
        <v>0</v>
      </c>
      <c r="AV24" s="185">
        <v>0</v>
      </c>
      <c r="AW24" s="185">
        <v>0</v>
      </c>
      <c r="AX24" s="185">
        <v>0</v>
      </c>
      <c r="AY24" s="185">
        <v>0</v>
      </c>
      <c r="AZ24" s="185">
        <v>0</v>
      </c>
      <c r="BA24" s="185">
        <v>0</v>
      </c>
      <c r="BB24" s="185">
        <v>0</v>
      </c>
      <c r="BC24" s="185">
        <v>0</v>
      </c>
      <c r="BD24" s="185">
        <v>0</v>
      </c>
      <c r="BE24" s="185">
        <v>0</v>
      </c>
      <c r="BF24" s="185">
        <v>0</v>
      </c>
      <c r="BG24" s="185">
        <v>0</v>
      </c>
      <c r="BH24" s="185">
        <v>0</v>
      </c>
      <c r="BI24" s="185">
        <v>0</v>
      </c>
      <c r="BJ24" s="185">
        <v>0</v>
      </c>
      <c r="BK24" s="185">
        <v>0</v>
      </c>
      <c r="BL24" s="185">
        <v>0</v>
      </c>
      <c r="BM24" s="185">
        <v>0</v>
      </c>
      <c r="BN24" s="185">
        <v>0</v>
      </c>
      <c r="BO24" s="185">
        <v>1</v>
      </c>
      <c r="BP24" s="185">
        <v>0</v>
      </c>
      <c r="BQ24" s="185">
        <v>0</v>
      </c>
      <c r="BR24" s="185">
        <v>0</v>
      </c>
      <c r="BS24" s="185">
        <v>1</v>
      </c>
      <c r="BT24" s="185">
        <v>0</v>
      </c>
      <c r="BU24" s="185">
        <v>0</v>
      </c>
      <c r="BV24" s="185">
        <v>0</v>
      </c>
      <c r="BW24" s="185">
        <v>0</v>
      </c>
      <c r="BX24" s="185">
        <v>0</v>
      </c>
      <c r="BY24" s="185">
        <v>0</v>
      </c>
      <c r="BZ24" s="185">
        <v>0</v>
      </c>
      <c r="CA24" s="185">
        <v>0</v>
      </c>
      <c r="CB24" s="185">
        <v>0</v>
      </c>
      <c r="CC24" s="185">
        <v>0</v>
      </c>
      <c r="CD24" s="185">
        <v>1</v>
      </c>
      <c r="CE24" s="185">
        <v>0</v>
      </c>
      <c r="CF24" s="185">
        <v>0</v>
      </c>
      <c r="CG24" s="185">
        <v>0</v>
      </c>
      <c r="CH24" s="185">
        <v>0</v>
      </c>
      <c r="CI24" s="185">
        <v>0</v>
      </c>
      <c r="CJ24" s="185">
        <v>0</v>
      </c>
      <c r="CK24" s="185">
        <v>0</v>
      </c>
      <c r="CL24" s="185">
        <v>0</v>
      </c>
      <c r="CM24" s="185">
        <v>0</v>
      </c>
      <c r="CN24" s="185">
        <v>0</v>
      </c>
      <c r="CO24" s="185">
        <v>0</v>
      </c>
      <c r="CP24" s="185">
        <v>0</v>
      </c>
      <c r="CQ24" s="185">
        <v>0</v>
      </c>
      <c r="CR24" s="185">
        <v>0</v>
      </c>
      <c r="CS24" s="185">
        <v>0</v>
      </c>
      <c r="CT24" s="185">
        <v>0</v>
      </c>
      <c r="CU24" s="103">
        <v>1</v>
      </c>
      <c r="CV24" s="185">
        <v>0</v>
      </c>
      <c r="CW24" s="185">
        <v>0</v>
      </c>
      <c r="CX24" s="185">
        <v>0</v>
      </c>
      <c r="CY24" s="185">
        <v>0</v>
      </c>
      <c r="CZ24" s="185">
        <v>0</v>
      </c>
      <c r="DA24" s="185">
        <v>0</v>
      </c>
      <c r="DB24" s="185">
        <v>0</v>
      </c>
      <c r="DC24" s="185">
        <v>1</v>
      </c>
      <c r="DD24" s="185">
        <v>0</v>
      </c>
      <c r="DE24" s="185">
        <v>0</v>
      </c>
      <c r="DF24" s="185">
        <v>0</v>
      </c>
      <c r="DG24" s="185">
        <v>0</v>
      </c>
      <c r="DH24" s="185">
        <v>0</v>
      </c>
      <c r="DI24" s="185">
        <v>0</v>
      </c>
      <c r="DJ24" s="185">
        <v>0</v>
      </c>
      <c r="DK24" s="185">
        <v>0</v>
      </c>
      <c r="DL24" s="185">
        <v>0</v>
      </c>
      <c r="DM24" s="185">
        <v>0</v>
      </c>
      <c r="DN24" s="185">
        <v>0</v>
      </c>
      <c r="DO24" s="185">
        <v>0</v>
      </c>
      <c r="DP24" s="185">
        <v>0</v>
      </c>
      <c r="DQ24" s="185">
        <v>0</v>
      </c>
      <c r="DR24" s="185">
        <v>0</v>
      </c>
      <c r="DS24" s="185">
        <v>0</v>
      </c>
      <c r="DT24" s="103">
        <v>0</v>
      </c>
      <c r="DU24" s="103">
        <v>0</v>
      </c>
      <c r="DV24" s="103">
        <v>0</v>
      </c>
      <c r="DW24" s="103">
        <v>0</v>
      </c>
      <c r="DX24" s="103">
        <v>0</v>
      </c>
      <c r="DY24" s="103">
        <v>0</v>
      </c>
      <c r="DZ24" s="103">
        <v>0</v>
      </c>
      <c r="EA24" s="103">
        <v>0</v>
      </c>
      <c r="EB24" s="185">
        <v>0</v>
      </c>
      <c r="EC24" s="185">
        <v>0</v>
      </c>
      <c r="ED24" s="185">
        <v>0</v>
      </c>
      <c r="EE24" s="185">
        <v>0</v>
      </c>
      <c r="EF24" s="185">
        <v>0</v>
      </c>
      <c r="EG24" s="185">
        <v>0</v>
      </c>
      <c r="EH24" s="185">
        <v>0</v>
      </c>
      <c r="EI24" s="185">
        <v>0</v>
      </c>
      <c r="EJ24" s="185">
        <v>0</v>
      </c>
      <c r="EK24" s="185">
        <v>0</v>
      </c>
      <c r="EL24" s="185">
        <v>0</v>
      </c>
      <c r="EM24" s="185">
        <v>0</v>
      </c>
      <c r="EN24" s="185">
        <v>0</v>
      </c>
      <c r="EO24" s="185">
        <v>0</v>
      </c>
      <c r="EP24" s="185">
        <v>0</v>
      </c>
      <c r="EQ24" s="185">
        <v>0</v>
      </c>
      <c r="ER24" s="185">
        <v>1</v>
      </c>
      <c r="ES24" s="185">
        <v>0</v>
      </c>
      <c r="ET24" s="185">
        <v>0</v>
      </c>
      <c r="EU24" s="185">
        <v>0</v>
      </c>
      <c r="EV24" s="185">
        <v>0</v>
      </c>
      <c r="EW24" s="185">
        <v>0</v>
      </c>
      <c r="EX24" s="185">
        <v>0</v>
      </c>
      <c r="EY24" s="185">
        <v>0</v>
      </c>
      <c r="EZ24" s="185">
        <v>0</v>
      </c>
      <c r="FA24" s="185">
        <v>0</v>
      </c>
      <c r="FB24" s="185">
        <v>0</v>
      </c>
      <c r="FC24" s="185">
        <v>0</v>
      </c>
      <c r="FD24" s="185">
        <v>0</v>
      </c>
      <c r="FE24" s="185">
        <v>0</v>
      </c>
      <c r="FF24" s="185">
        <v>0</v>
      </c>
      <c r="FG24" s="185">
        <v>0</v>
      </c>
      <c r="FH24" s="185">
        <v>0</v>
      </c>
      <c r="FI24" s="185">
        <v>0</v>
      </c>
      <c r="FJ24" s="185">
        <v>0</v>
      </c>
      <c r="FK24" s="185">
        <v>0</v>
      </c>
      <c r="FL24" s="185">
        <v>0</v>
      </c>
      <c r="FM24" s="185">
        <v>0</v>
      </c>
      <c r="FN24" s="185">
        <v>0</v>
      </c>
      <c r="FO24" s="185">
        <v>0</v>
      </c>
    </row>
    <row r="25" spans="1:171" s="174" customFormat="1" ht="14.45" x14ac:dyDescent="0.3">
      <c r="A25" s="175" t="s">
        <v>29</v>
      </c>
      <c r="B25" s="172" t="str">
        <f t="shared" si="0"/>
        <v>INN3x77C-HP18</v>
      </c>
      <c r="C25" s="176"/>
      <c r="D25" s="176"/>
      <c r="E25" s="176" t="s">
        <v>423</v>
      </c>
      <c r="F25" s="177"/>
      <c r="G25" s="177"/>
      <c r="H25" s="177"/>
      <c r="I25" s="178">
        <v>7</v>
      </c>
      <c r="J25" s="178">
        <v>7</v>
      </c>
      <c r="K25" s="153">
        <v>7</v>
      </c>
      <c r="L25" s="154">
        <v>7</v>
      </c>
      <c r="M25" s="179">
        <v>115</v>
      </c>
      <c r="N25" s="180">
        <v>1350</v>
      </c>
      <c r="O25" s="179">
        <v>9.1</v>
      </c>
      <c r="P25" s="180">
        <v>25</v>
      </c>
      <c r="Q25" s="180">
        <v>0</v>
      </c>
      <c r="R25" s="180">
        <v>0</v>
      </c>
      <c r="S25" s="180">
        <v>0</v>
      </c>
      <c r="T25" s="180">
        <v>0</v>
      </c>
      <c r="U25" s="180">
        <v>0</v>
      </c>
      <c r="V25" s="180">
        <v>0</v>
      </c>
      <c r="W25" s="180">
        <v>0</v>
      </c>
      <c r="X25" s="180">
        <v>0</v>
      </c>
      <c r="Y25" s="180">
        <v>0</v>
      </c>
      <c r="Z25" s="180">
        <v>0</v>
      </c>
      <c r="AA25" s="180">
        <v>0</v>
      </c>
      <c r="AB25" s="180">
        <v>0</v>
      </c>
      <c r="AC25" s="180">
        <v>1</v>
      </c>
      <c r="AD25" s="181" t="s">
        <v>32</v>
      </c>
      <c r="AE25" s="180">
        <v>0</v>
      </c>
      <c r="AF25" s="182">
        <v>0</v>
      </c>
      <c r="AG25" s="183">
        <v>750</v>
      </c>
      <c r="AH25" s="184">
        <v>705</v>
      </c>
      <c r="AI25" s="180">
        <v>13</v>
      </c>
      <c r="AJ25" s="180">
        <v>0</v>
      </c>
      <c r="AK25" s="180">
        <v>22</v>
      </c>
      <c r="AL25" s="180">
        <v>10</v>
      </c>
      <c r="AM25" s="180">
        <v>0</v>
      </c>
      <c r="AN25" s="180">
        <v>0</v>
      </c>
      <c r="AO25" s="162">
        <v>132</v>
      </c>
      <c r="AP25" s="163">
        <v>3.2000000000000001E-2</v>
      </c>
      <c r="AQ25" s="164">
        <v>5</v>
      </c>
      <c r="AR25" s="185">
        <v>0</v>
      </c>
      <c r="AS25" s="185">
        <v>0</v>
      </c>
      <c r="AT25" s="185">
        <v>0</v>
      </c>
      <c r="AU25" s="185">
        <v>0</v>
      </c>
      <c r="AV25" s="185">
        <v>0</v>
      </c>
      <c r="AW25" s="185">
        <v>0</v>
      </c>
      <c r="AX25" s="185">
        <v>0</v>
      </c>
      <c r="AY25" s="185">
        <v>0</v>
      </c>
      <c r="AZ25" s="185">
        <v>0</v>
      </c>
      <c r="BA25" s="185">
        <v>0</v>
      </c>
      <c r="BB25" s="185">
        <v>0</v>
      </c>
      <c r="BC25" s="185">
        <v>0</v>
      </c>
      <c r="BD25" s="185">
        <v>0</v>
      </c>
      <c r="BE25" s="185">
        <v>0</v>
      </c>
      <c r="BF25" s="185">
        <v>0</v>
      </c>
      <c r="BG25" s="185">
        <v>0</v>
      </c>
      <c r="BH25" s="185">
        <v>0</v>
      </c>
      <c r="BI25" s="185">
        <v>0</v>
      </c>
      <c r="BJ25" s="185">
        <v>0</v>
      </c>
      <c r="BK25" s="185">
        <v>0</v>
      </c>
      <c r="BL25" s="185">
        <v>0</v>
      </c>
      <c r="BM25" s="185">
        <v>0</v>
      </c>
      <c r="BN25" s="185">
        <v>0</v>
      </c>
      <c r="BO25" s="185">
        <v>1</v>
      </c>
      <c r="BP25" s="185">
        <v>0</v>
      </c>
      <c r="BQ25" s="185">
        <v>0</v>
      </c>
      <c r="BR25" s="185">
        <v>0</v>
      </c>
      <c r="BS25" s="185">
        <v>1</v>
      </c>
      <c r="BT25" s="185">
        <v>0</v>
      </c>
      <c r="BU25" s="185">
        <v>0</v>
      </c>
      <c r="BV25" s="185">
        <v>0</v>
      </c>
      <c r="BW25" s="185">
        <v>0</v>
      </c>
      <c r="BX25" s="185">
        <v>0</v>
      </c>
      <c r="BY25" s="185">
        <v>0</v>
      </c>
      <c r="BZ25" s="185">
        <v>0</v>
      </c>
      <c r="CA25" s="185">
        <v>0</v>
      </c>
      <c r="CB25" s="185">
        <v>0</v>
      </c>
      <c r="CC25" s="185">
        <v>0</v>
      </c>
      <c r="CD25" s="185">
        <v>1</v>
      </c>
      <c r="CE25" s="185">
        <v>0</v>
      </c>
      <c r="CF25" s="185">
        <v>0</v>
      </c>
      <c r="CG25" s="185">
        <v>0</v>
      </c>
      <c r="CH25" s="185">
        <v>0</v>
      </c>
      <c r="CI25" s="185">
        <v>0</v>
      </c>
      <c r="CJ25" s="185">
        <v>0</v>
      </c>
      <c r="CK25" s="185">
        <v>0</v>
      </c>
      <c r="CL25" s="185">
        <v>0</v>
      </c>
      <c r="CM25" s="185">
        <v>0</v>
      </c>
      <c r="CN25" s="185">
        <v>0</v>
      </c>
      <c r="CO25" s="185">
        <v>0</v>
      </c>
      <c r="CP25" s="185">
        <v>0</v>
      </c>
      <c r="CQ25" s="185">
        <v>0</v>
      </c>
      <c r="CR25" s="185">
        <v>0</v>
      </c>
      <c r="CS25" s="185">
        <v>0</v>
      </c>
      <c r="CT25" s="185">
        <v>0</v>
      </c>
      <c r="CU25" s="103">
        <v>1</v>
      </c>
      <c r="CV25" s="185">
        <v>0</v>
      </c>
      <c r="CW25" s="185">
        <v>0</v>
      </c>
      <c r="CX25" s="185">
        <v>0</v>
      </c>
      <c r="CY25" s="185">
        <v>0</v>
      </c>
      <c r="CZ25" s="185">
        <v>0</v>
      </c>
      <c r="DA25" s="185">
        <v>0</v>
      </c>
      <c r="DB25" s="185">
        <v>0</v>
      </c>
      <c r="DC25" s="185">
        <v>1</v>
      </c>
      <c r="DD25" s="185">
        <v>0</v>
      </c>
      <c r="DE25" s="185">
        <v>0</v>
      </c>
      <c r="DF25" s="185">
        <v>0</v>
      </c>
      <c r="DG25" s="185">
        <v>0</v>
      </c>
      <c r="DH25" s="185">
        <v>0</v>
      </c>
      <c r="DI25" s="185">
        <v>0</v>
      </c>
      <c r="DJ25" s="185">
        <v>0</v>
      </c>
      <c r="DK25" s="185">
        <v>0</v>
      </c>
      <c r="DL25" s="185">
        <v>0</v>
      </c>
      <c r="DM25" s="185">
        <v>0</v>
      </c>
      <c r="DN25" s="185">
        <v>0</v>
      </c>
      <c r="DO25" s="185">
        <v>0</v>
      </c>
      <c r="DP25" s="185">
        <v>0</v>
      </c>
      <c r="DQ25" s="185">
        <v>0</v>
      </c>
      <c r="DR25" s="185">
        <v>0</v>
      </c>
      <c r="DS25" s="185">
        <v>0</v>
      </c>
      <c r="DT25" s="103">
        <v>0</v>
      </c>
      <c r="DU25" s="103">
        <v>0</v>
      </c>
      <c r="DV25" s="103">
        <v>0</v>
      </c>
      <c r="DW25" s="103">
        <v>0</v>
      </c>
      <c r="DX25" s="103">
        <v>0</v>
      </c>
      <c r="DY25" s="103">
        <v>0</v>
      </c>
      <c r="DZ25" s="103">
        <v>0</v>
      </c>
      <c r="EA25" s="103">
        <v>0</v>
      </c>
      <c r="EB25" s="185">
        <v>0</v>
      </c>
      <c r="EC25" s="185">
        <v>0</v>
      </c>
      <c r="ED25" s="185">
        <v>0</v>
      </c>
      <c r="EE25" s="185">
        <v>0</v>
      </c>
      <c r="EF25" s="185">
        <v>0</v>
      </c>
      <c r="EG25" s="185">
        <v>0</v>
      </c>
      <c r="EH25" s="185">
        <v>0</v>
      </c>
      <c r="EI25" s="185">
        <v>0</v>
      </c>
      <c r="EJ25" s="185">
        <v>0</v>
      </c>
      <c r="EK25" s="185">
        <v>0</v>
      </c>
      <c r="EL25" s="185">
        <v>0</v>
      </c>
      <c r="EM25" s="185">
        <v>0</v>
      </c>
      <c r="EN25" s="185">
        <v>0</v>
      </c>
      <c r="EO25" s="185">
        <v>0</v>
      </c>
      <c r="EP25" s="185">
        <v>0</v>
      </c>
      <c r="EQ25" s="185">
        <v>0</v>
      </c>
      <c r="ER25" s="185">
        <v>1</v>
      </c>
      <c r="ES25" s="185">
        <v>0</v>
      </c>
      <c r="ET25" s="185">
        <v>0</v>
      </c>
      <c r="EU25" s="185">
        <v>0</v>
      </c>
      <c r="EV25" s="185">
        <v>0</v>
      </c>
      <c r="EW25" s="185">
        <v>0</v>
      </c>
      <c r="EX25" s="185">
        <v>0</v>
      </c>
      <c r="EY25" s="185">
        <v>0</v>
      </c>
      <c r="EZ25" s="185">
        <v>0</v>
      </c>
      <c r="FA25" s="185">
        <v>0</v>
      </c>
      <c r="FB25" s="185">
        <v>0</v>
      </c>
      <c r="FC25" s="185">
        <v>0</v>
      </c>
      <c r="FD25" s="185">
        <v>0</v>
      </c>
      <c r="FE25" s="185">
        <v>0</v>
      </c>
      <c r="FF25" s="185">
        <v>0</v>
      </c>
      <c r="FG25" s="185">
        <v>0</v>
      </c>
      <c r="FH25" s="185">
        <v>0</v>
      </c>
      <c r="FI25" s="185">
        <v>0</v>
      </c>
      <c r="FJ25" s="185">
        <v>0</v>
      </c>
      <c r="FK25" s="185">
        <v>0</v>
      </c>
      <c r="FL25" s="185">
        <v>0</v>
      </c>
      <c r="FM25" s="185">
        <v>0</v>
      </c>
      <c r="FN25" s="185">
        <v>0</v>
      </c>
      <c r="FO25" s="185">
        <v>0</v>
      </c>
    </row>
    <row r="26" spans="1:171" s="174" customFormat="1" x14ac:dyDescent="0.25">
      <c r="A26" s="175" t="s">
        <v>29</v>
      </c>
      <c r="B26" s="172" t="str">
        <f>CONCATENATE("INN3", IF(ISBLANK(H26),"x",H26), I26, J26, "C-",INDEX(C26:E26,B$4))</f>
        <v>INN3x66C-HP19</v>
      </c>
      <c r="C26" s="176"/>
      <c r="D26" s="176"/>
      <c r="E26" s="176" t="s">
        <v>430</v>
      </c>
      <c r="F26" s="177"/>
      <c r="G26" s="177"/>
      <c r="H26" s="177"/>
      <c r="I26" s="178">
        <v>6</v>
      </c>
      <c r="J26" s="178">
        <v>6</v>
      </c>
      <c r="K26" s="153">
        <v>6</v>
      </c>
      <c r="L26" s="154">
        <v>6</v>
      </c>
      <c r="M26" s="179">
        <v>115</v>
      </c>
      <c r="N26" s="180">
        <v>950</v>
      </c>
      <c r="O26" s="179">
        <v>9.1</v>
      </c>
      <c r="P26" s="180">
        <v>25</v>
      </c>
      <c r="Q26" s="180">
        <v>0</v>
      </c>
      <c r="R26" s="180">
        <v>0</v>
      </c>
      <c r="S26" s="180">
        <v>0</v>
      </c>
      <c r="T26" s="180">
        <v>0</v>
      </c>
      <c r="U26" s="180">
        <v>0</v>
      </c>
      <c r="V26" s="180">
        <v>0</v>
      </c>
      <c r="W26" s="180">
        <v>0</v>
      </c>
      <c r="X26" s="180">
        <v>0</v>
      </c>
      <c r="Y26" s="180">
        <v>0</v>
      </c>
      <c r="Z26" s="180">
        <v>0</v>
      </c>
      <c r="AA26" s="180">
        <v>0</v>
      </c>
      <c r="AB26" s="180">
        <v>0</v>
      </c>
      <c r="AC26" s="180">
        <v>1</v>
      </c>
      <c r="AD26" s="181" t="s">
        <v>32</v>
      </c>
      <c r="AE26" s="180">
        <v>1</v>
      </c>
      <c r="AF26" s="182">
        <v>0</v>
      </c>
      <c r="AG26" s="183">
        <v>675</v>
      </c>
      <c r="AH26" s="184">
        <v>630</v>
      </c>
      <c r="AI26" s="180">
        <v>10</v>
      </c>
      <c r="AJ26" s="180">
        <v>0</v>
      </c>
      <c r="AK26" s="180">
        <v>23</v>
      </c>
      <c r="AL26" s="180">
        <v>5</v>
      </c>
      <c r="AM26" s="180">
        <v>0</v>
      </c>
      <c r="AN26" s="180">
        <v>0</v>
      </c>
      <c r="AO26" s="162">
        <v>132</v>
      </c>
      <c r="AP26" s="163">
        <v>3.2000000000000001E-2</v>
      </c>
      <c r="AQ26" s="164">
        <v>5</v>
      </c>
      <c r="AR26" s="185">
        <v>0</v>
      </c>
      <c r="AS26" s="185">
        <v>0</v>
      </c>
      <c r="AT26" s="185">
        <v>0</v>
      </c>
      <c r="AU26" s="185">
        <v>0</v>
      </c>
      <c r="AV26" s="185">
        <v>0</v>
      </c>
      <c r="AW26" s="185">
        <v>0</v>
      </c>
      <c r="AX26" s="185">
        <v>0</v>
      </c>
      <c r="AY26" s="185">
        <v>0</v>
      </c>
      <c r="AZ26" s="185">
        <v>0</v>
      </c>
      <c r="BA26" s="185">
        <v>0</v>
      </c>
      <c r="BB26" s="185">
        <v>0</v>
      </c>
      <c r="BC26" s="185">
        <v>0</v>
      </c>
      <c r="BD26" s="185">
        <v>0</v>
      </c>
      <c r="BE26" s="185">
        <v>0</v>
      </c>
      <c r="BF26" s="185">
        <v>0</v>
      </c>
      <c r="BG26" s="185">
        <v>0</v>
      </c>
      <c r="BH26" s="185">
        <v>0</v>
      </c>
      <c r="BI26" s="185">
        <v>0</v>
      </c>
      <c r="BJ26" s="185">
        <v>0</v>
      </c>
      <c r="BK26" s="185">
        <v>0</v>
      </c>
      <c r="BL26" s="185">
        <v>0</v>
      </c>
      <c r="BM26" s="185">
        <v>0</v>
      </c>
      <c r="BN26" s="185">
        <v>0</v>
      </c>
      <c r="BO26" s="185">
        <v>1</v>
      </c>
      <c r="BP26" s="185">
        <v>0</v>
      </c>
      <c r="BQ26" s="185">
        <v>0</v>
      </c>
      <c r="BR26" s="185">
        <v>0</v>
      </c>
      <c r="BS26" s="185">
        <v>1</v>
      </c>
      <c r="BT26" s="185">
        <v>0</v>
      </c>
      <c r="BU26" s="185">
        <v>0</v>
      </c>
      <c r="BV26" s="185">
        <v>0</v>
      </c>
      <c r="BW26" s="185">
        <v>0</v>
      </c>
      <c r="BX26" s="185">
        <v>0</v>
      </c>
      <c r="BY26" s="185">
        <v>0</v>
      </c>
      <c r="BZ26" s="185">
        <v>0</v>
      </c>
      <c r="CA26" s="185">
        <v>0</v>
      </c>
      <c r="CB26" s="185">
        <v>0</v>
      </c>
      <c r="CC26" s="185">
        <v>0</v>
      </c>
      <c r="CD26" s="185">
        <v>1</v>
      </c>
      <c r="CE26" s="185">
        <v>0</v>
      </c>
      <c r="CF26" s="185">
        <v>0</v>
      </c>
      <c r="CG26" s="185">
        <v>0</v>
      </c>
      <c r="CH26" s="185">
        <v>0</v>
      </c>
      <c r="CI26" s="185">
        <v>0</v>
      </c>
      <c r="CJ26" s="185">
        <v>0</v>
      </c>
      <c r="CK26" s="185">
        <v>0</v>
      </c>
      <c r="CL26" s="185">
        <v>0</v>
      </c>
      <c r="CM26" s="185">
        <v>0</v>
      </c>
      <c r="CN26" s="185">
        <v>0</v>
      </c>
      <c r="CO26" s="185">
        <v>0</v>
      </c>
      <c r="CP26" s="185">
        <v>0</v>
      </c>
      <c r="CQ26" s="185">
        <v>0</v>
      </c>
      <c r="CR26" s="185">
        <v>0</v>
      </c>
      <c r="CS26" s="185">
        <v>0</v>
      </c>
      <c r="CT26" s="185">
        <v>0</v>
      </c>
      <c r="CU26" s="185">
        <v>1</v>
      </c>
      <c r="CV26" s="185">
        <v>0</v>
      </c>
      <c r="CW26" s="185">
        <v>0</v>
      </c>
      <c r="CX26" s="185">
        <v>0</v>
      </c>
      <c r="CY26" s="185">
        <v>0</v>
      </c>
      <c r="CZ26" s="185">
        <v>0</v>
      </c>
      <c r="DA26" s="185">
        <v>0</v>
      </c>
      <c r="DB26" s="185">
        <v>0</v>
      </c>
      <c r="DC26" s="185">
        <v>1</v>
      </c>
      <c r="DD26" s="185">
        <v>0</v>
      </c>
      <c r="DE26" s="185">
        <v>0</v>
      </c>
      <c r="DF26" s="185">
        <v>0</v>
      </c>
      <c r="DG26" s="185">
        <v>0</v>
      </c>
      <c r="DH26" s="185">
        <v>0</v>
      </c>
      <c r="DI26" s="185">
        <v>0</v>
      </c>
      <c r="DJ26" s="185">
        <v>0</v>
      </c>
      <c r="DK26" s="185">
        <v>0</v>
      </c>
      <c r="DL26" s="185">
        <v>0</v>
      </c>
      <c r="DM26" s="185">
        <v>0</v>
      </c>
      <c r="DN26" s="185">
        <v>0</v>
      </c>
      <c r="DO26" s="185">
        <v>0</v>
      </c>
      <c r="DP26" s="185">
        <v>0</v>
      </c>
      <c r="DQ26" s="185">
        <v>0</v>
      </c>
      <c r="DR26" s="185">
        <v>0</v>
      </c>
      <c r="DS26" s="185">
        <v>0</v>
      </c>
      <c r="DT26" s="185">
        <v>0</v>
      </c>
      <c r="DU26" s="185">
        <v>0</v>
      </c>
      <c r="DV26" s="185">
        <v>0</v>
      </c>
      <c r="DW26" s="185">
        <v>0</v>
      </c>
      <c r="DX26" s="185">
        <v>0</v>
      </c>
      <c r="DY26" s="185">
        <v>0</v>
      </c>
      <c r="DZ26" s="185">
        <v>0</v>
      </c>
      <c r="EA26" s="185">
        <v>0</v>
      </c>
      <c r="EB26" s="185">
        <v>0</v>
      </c>
      <c r="EC26" s="185">
        <v>0</v>
      </c>
      <c r="ED26" s="185">
        <v>0</v>
      </c>
      <c r="EE26" s="185">
        <v>0</v>
      </c>
      <c r="EF26" s="185">
        <v>0</v>
      </c>
      <c r="EG26" s="185">
        <v>0</v>
      </c>
      <c r="EH26" s="185">
        <v>0</v>
      </c>
      <c r="EI26" s="185">
        <v>0</v>
      </c>
      <c r="EJ26" s="185">
        <v>0</v>
      </c>
      <c r="EK26" s="185">
        <v>0</v>
      </c>
      <c r="EL26" s="185">
        <v>0</v>
      </c>
      <c r="EM26" s="185">
        <v>0</v>
      </c>
      <c r="EN26" s="185">
        <v>0</v>
      </c>
      <c r="EO26" s="185">
        <v>0</v>
      </c>
      <c r="EP26" s="185">
        <v>0</v>
      </c>
      <c r="EQ26" s="185">
        <v>0</v>
      </c>
      <c r="ER26" s="185">
        <v>1</v>
      </c>
      <c r="ES26" s="185">
        <v>0</v>
      </c>
      <c r="ET26" s="185">
        <v>0</v>
      </c>
      <c r="EU26" s="185">
        <v>0</v>
      </c>
      <c r="EV26" s="185">
        <v>0</v>
      </c>
      <c r="EW26" s="185">
        <v>0</v>
      </c>
      <c r="EX26" s="185">
        <v>0</v>
      </c>
      <c r="EY26" s="185">
        <v>0</v>
      </c>
      <c r="EZ26" s="185">
        <v>0</v>
      </c>
      <c r="FA26" s="185">
        <v>0</v>
      </c>
      <c r="FB26" s="185">
        <v>0</v>
      </c>
      <c r="FC26" s="185">
        <v>0</v>
      </c>
      <c r="FD26" s="185">
        <v>0</v>
      </c>
      <c r="FE26" s="185">
        <v>0</v>
      </c>
      <c r="FF26" s="185">
        <v>0</v>
      </c>
      <c r="FG26" s="185">
        <v>0</v>
      </c>
      <c r="FH26" s="185">
        <v>0</v>
      </c>
      <c r="FI26" s="185">
        <v>0</v>
      </c>
      <c r="FJ26" s="185">
        <v>0</v>
      </c>
      <c r="FK26" s="185">
        <v>0</v>
      </c>
      <c r="FL26" s="185">
        <v>0</v>
      </c>
      <c r="FM26" s="185">
        <v>0</v>
      </c>
      <c r="FN26" s="185">
        <v>0</v>
      </c>
      <c r="FO26" s="185">
        <v>0</v>
      </c>
    </row>
    <row r="27" spans="1:171" s="174" customFormat="1" x14ac:dyDescent="0.25">
      <c r="A27" s="175" t="s">
        <v>29</v>
      </c>
      <c r="B27" s="170" t="str">
        <f t="shared" ref="B27" si="1">CONCATENATE("INN3", IF(ISBLANK(H27),"x",H27), I27, J27, "C-",INDEX(C27:E27,B$4))</f>
        <v>INN3x68C-HP20</v>
      </c>
      <c r="C27" s="176"/>
      <c r="D27" s="176"/>
      <c r="E27" s="176" t="s">
        <v>431</v>
      </c>
      <c r="F27" s="177"/>
      <c r="G27" s="177"/>
      <c r="H27" s="177"/>
      <c r="I27" s="178">
        <v>6</v>
      </c>
      <c r="J27" s="178">
        <v>8</v>
      </c>
      <c r="K27" s="153">
        <v>8</v>
      </c>
      <c r="L27" s="154">
        <v>8</v>
      </c>
      <c r="M27" s="179">
        <v>115</v>
      </c>
      <c r="N27" s="180">
        <v>1650</v>
      </c>
      <c r="O27" s="179">
        <v>9.1</v>
      </c>
      <c r="P27" s="180">
        <v>25</v>
      </c>
      <c r="Q27" s="180">
        <v>0</v>
      </c>
      <c r="R27" s="180">
        <v>0</v>
      </c>
      <c r="S27" s="180">
        <v>0</v>
      </c>
      <c r="T27" s="180">
        <v>0</v>
      </c>
      <c r="U27" s="180">
        <v>0</v>
      </c>
      <c r="V27" s="180">
        <v>0</v>
      </c>
      <c r="W27" s="180">
        <v>0</v>
      </c>
      <c r="X27" s="180">
        <v>0</v>
      </c>
      <c r="Y27" s="180">
        <v>0</v>
      </c>
      <c r="Z27" s="180">
        <v>0</v>
      </c>
      <c r="AA27" s="180">
        <v>0</v>
      </c>
      <c r="AB27" s="180">
        <v>0</v>
      </c>
      <c r="AC27" s="180">
        <v>1</v>
      </c>
      <c r="AD27" s="181" t="s">
        <v>32</v>
      </c>
      <c r="AE27" s="180">
        <v>1</v>
      </c>
      <c r="AF27" s="182">
        <v>0</v>
      </c>
      <c r="AG27" s="183">
        <v>675</v>
      </c>
      <c r="AH27" s="184">
        <v>630</v>
      </c>
      <c r="AI27" s="180">
        <v>13</v>
      </c>
      <c r="AJ27" s="180">
        <v>0</v>
      </c>
      <c r="AK27" s="180">
        <v>17</v>
      </c>
      <c r="AL27" s="180">
        <v>11</v>
      </c>
      <c r="AM27" s="180">
        <v>0</v>
      </c>
      <c r="AN27" s="180">
        <v>0</v>
      </c>
      <c r="AO27" s="106">
        <v>132</v>
      </c>
      <c r="AP27" s="114">
        <v>3.2000000000000001E-2</v>
      </c>
      <c r="AQ27" s="79">
        <v>5</v>
      </c>
      <c r="AR27" s="103">
        <v>0</v>
      </c>
      <c r="AS27" s="103">
        <v>0</v>
      </c>
      <c r="AT27" s="103">
        <v>0</v>
      </c>
      <c r="AU27" s="103">
        <v>0</v>
      </c>
      <c r="AV27" s="103">
        <v>0</v>
      </c>
      <c r="AW27" s="103">
        <v>0</v>
      </c>
      <c r="AX27" s="103">
        <v>0</v>
      </c>
      <c r="AY27" s="103">
        <v>0</v>
      </c>
      <c r="AZ27" s="103">
        <v>0</v>
      </c>
      <c r="BA27" s="103">
        <v>0</v>
      </c>
      <c r="BB27" s="103">
        <v>0</v>
      </c>
      <c r="BC27" s="103">
        <v>0</v>
      </c>
      <c r="BD27" s="103">
        <v>0</v>
      </c>
      <c r="BE27" s="103">
        <v>0</v>
      </c>
      <c r="BF27" s="103">
        <v>0</v>
      </c>
      <c r="BG27" s="103">
        <v>0</v>
      </c>
      <c r="BH27" s="103">
        <v>0</v>
      </c>
      <c r="BI27" s="103">
        <v>0</v>
      </c>
      <c r="BJ27" s="103">
        <v>0</v>
      </c>
      <c r="BK27" s="103">
        <v>0</v>
      </c>
      <c r="BL27" s="103">
        <v>0</v>
      </c>
      <c r="BM27" s="103">
        <v>0</v>
      </c>
      <c r="BN27" s="103">
        <v>0</v>
      </c>
      <c r="BO27" s="103">
        <v>1</v>
      </c>
      <c r="BP27" s="103">
        <v>0</v>
      </c>
      <c r="BQ27" s="103">
        <v>0</v>
      </c>
      <c r="BR27" s="103">
        <v>0</v>
      </c>
      <c r="BS27" s="103">
        <v>1</v>
      </c>
      <c r="BT27" s="103">
        <v>0</v>
      </c>
      <c r="BU27" s="103">
        <v>0</v>
      </c>
      <c r="BV27" s="103">
        <v>0</v>
      </c>
      <c r="BW27" s="103">
        <v>0</v>
      </c>
      <c r="BX27" s="103">
        <v>0</v>
      </c>
      <c r="BY27" s="103">
        <v>0</v>
      </c>
      <c r="BZ27" s="103">
        <v>0</v>
      </c>
      <c r="CA27" s="103">
        <v>0</v>
      </c>
      <c r="CB27" s="103">
        <v>0</v>
      </c>
      <c r="CC27" s="103">
        <v>0</v>
      </c>
      <c r="CD27" s="103">
        <v>1</v>
      </c>
      <c r="CE27" s="103">
        <v>0</v>
      </c>
      <c r="CF27" s="103">
        <v>0</v>
      </c>
      <c r="CG27" s="103">
        <v>0</v>
      </c>
      <c r="CH27" s="103">
        <v>0</v>
      </c>
      <c r="CI27" s="103">
        <v>0</v>
      </c>
      <c r="CJ27" s="103">
        <v>0</v>
      </c>
      <c r="CK27" s="103">
        <v>0</v>
      </c>
      <c r="CL27" s="103">
        <v>0</v>
      </c>
      <c r="CM27" s="103">
        <v>0</v>
      </c>
      <c r="CN27" s="103">
        <v>0</v>
      </c>
      <c r="CO27" s="103">
        <v>0</v>
      </c>
      <c r="CP27" s="103">
        <v>0</v>
      </c>
      <c r="CQ27" s="103">
        <v>0</v>
      </c>
      <c r="CR27" s="103">
        <v>0</v>
      </c>
      <c r="CS27" s="103">
        <v>0</v>
      </c>
      <c r="CT27" s="103">
        <v>0</v>
      </c>
      <c r="CU27" s="103">
        <v>1</v>
      </c>
      <c r="CV27" s="103">
        <v>0</v>
      </c>
      <c r="CW27" s="103">
        <v>0</v>
      </c>
      <c r="CX27" s="103">
        <v>0</v>
      </c>
      <c r="CY27" s="103">
        <v>0</v>
      </c>
      <c r="CZ27" s="103">
        <v>0</v>
      </c>
      <c r="DA27" s="103">
        <v>0</v>
      </c>
      <c r="DB27" s="103">
        <v>0</v>
      </c>
      <c r="DC27" s="103">
        <v>1</v>
      </c>
      <c r="DD27" s="103">
        <v>0</v>
      </c>
      <c r="DE27" s="103">
        <v>0</v>
      </c>
      <c r="DF27" s="103">
        <v>0</v>
      </c>
      <c r="DG27" s="103">
        <v>0</v>
      </c>
      <c r="DH27" s="103">
        <v>0</v>
      </c>
      <c r="DI27" s="185">
        <v>0</v>
      </c>
      <c r="DJ27" s="185">
        <v>0</v>
      </c>
      <c r="DK27" s="185">
        <v>0</v>
      </c>
      <c r="DL27" s="103">
        <v>0</v>
      </c>
      <c r="DM27" s="103">
        <v>0</v>
      </c>
      <c r="DN27" s="103">
        <v>0</v>
      </c>
      <c r="DO27" s="103">
        <v>0</v>
      </c>
      <c r="DP27" s="103">
        <v>0</v>
      </c>
      <c r="DQ27" s="103">
        <v>0</v>
      </c>
      <c r="DR27" s="103">
        <v>0</v>
      </c>
      <c r="DS27" s="103">
        <v>0</v>
      </c>
      <c r="DT27" s="103">
        <v>0</v>
      </c>
      <c r="DU27" s="103">
        <v>0</v>
      </c>
      <c r="DV27" s="103">
        <v>0</v>
      </c>
      <c r="DW27" s="103">
        <v>0</v>
      </c>
      <c r="DX27" s="103">
        <v>0</v>
      </c>
      <c r="DY27" s="103">
        <v>0</v>
      </c>
      <c r="DZ27" s="103">
        <v>0</v>
      </c>
      <c r="EA27" s="103">
        <v>0</v>
      </c>
      <c r="EB27" s="103">
        <v>0</v>
      </c>
      <c r="EC27" s="103">
        <v>0</v>
      </c>
      <c r="ED27" s="103">
        <v>0</v>
      </c>
      <c r="EE27" s="103">
        <v>0</v>
      </c>
      <c r="EF27" s="103">
        <v>0</v>
      </c>
      <c r="EG27" s="103">
        <v>0</v>
      </c>
      <c r="EH27" s="103">
        <v>0</v>
      </c>
      <c r="EI27" s="103">
        <v>0</v>
      </c>
      <c r="EJ27" s="103">
        <v>0</v>
      </c>
      <c r="EK27" s="103">
        <v>0</v>
      </c>
      <c r="EL27" s="103">
        <v>0</v>
      </c>
      <c r="EM27" s="103">
        <v>0</v>
      </c>
      <c r="EN27" s="103">
        <v>0</v>
      </c>
      <c r="EO27" s="103">
        <v>0</v>
      </c>
      <c r="EP27" s="103">
        <v>0</v>
      </c>
      <c r="EQ27" s="103">
        <v>0</v>
      </c>
      <c r="ER27" s="103">
        <v>1</v>
      </c>
      <c r="ES27" s="103">
        <v>1</v>
      </c>
      <c r="ET27" s="103">
        <v>0</v>
      </c>
      <c r="EU27" s="103">
        <v>0</v>
      </c>
      <c r="EV27" s="103">
        <v>0</v>
      </c>
      <c r="EW27" s="103">
        <v>0</v>
      </c>
      <c r="EX27" s="103">
        <v>0</v>
      </c>
      <c r="EY27" s="103">
        <v>0</v>
      </c>
      <c r="EZ27" s="103">
        <v>0</v>
      </c>
      <c r="FA27" s="103">
        <v>0</v>
      </c>
      <c r="FB27" s="103">
        <v>0</v>
      </c>
      <c r="FC27" s="103">
        <v>0</v>
      </c>
      <c r="FD27" s="103">
        <v>0</v>
      </c>
      <c r="FE27" s="103">
        <v>0</v>
      </c>
      <c r="FF27" s="103">
        <v>0</v>
      </c>
      <c r="FG27" s="103">
        <v>0</v>
      </c>
      <c r="FH27" s="103">
        <v>0</v>
      </c>
      <c r="FI27" s="103">
        <v>0</v>
      </c>
      <c r="FJ27" s="103">
        <v>0</v>
      </c>
      <c r="FK27" s="103">
        <v>0</v>
      </c>
      <c r="FL27" s="103">
        <v>0</v>
      </c>
      <c r="FM27" s="103">
        <v>0</v>
      </c>
      <c r="FN27" s="103">
        <v>0</v>
      </c>
      <c r="FO27" s="103">
        <v>0</v>
      </c>
    </row>
    <row r="28" spans="1:171" s="174" customFormat="1" ht="14.45" x14ac:dyDescent="0.3">
      <c r="A28" s="175" t="s">
        <v>29</v>
      </c>
      <c r="B28" s="170" t="str">
        <f t="shared" ref="B28:B39" si="2">CONCATENATE("INN3", IF(ISBLANK(H28),"x",H28), I28, J28, "C-",INDEX(C28:E28,B$4))</f>
        <v>INN3x68C-HP21</v>
      </c>
      <c r="C28" s="176"/>
      <c r="D28" s="176"/>
      <c r="E28" s="176" t="s">
        <v>432</v>
      </c>
      <c r="F28" s="177"/>
      <c r="G28" s="177"/>
      <c r="H28" s="177"/>
      <c r="I28" s="178">
        <v>6</v>
      </c>
      <c r="J28" s="178">
        <v>8</v>
      </c>
      <c r="K28" s="153">
        <v>8</v>
      </c>
      <c r="L28" s="154">
        <v>8</v>
      </c>
      <c r="M28" s="179">
        <v>115</v>
      </c>
      <c r="N28" s="180">
        <v>1650</v>
      </c>
      <c r="O28" s="179">
        <v>9.1</v>
      </c>
      <c r="P28" s="180">
        <v>25</v>
      </c>
      <c r="Q28" s="180">
        <v>0</v>
      </c>
      <c r="R28" s="180">
        <v>0</v>
      </c>
      <c r="S28" s="180">
        <v>0</v>
      </c>
      <c r="T28" s="180">
        <v>0</v>
      </c>
      <c r="U28" s="180">
        <v>0</v>
      </c>
      <c r="V28" s="180">
        <v>0</v>
      </c>
      <c r="W28" s="180">
        <v>0</v>
      </c>
      <c r="X28" s="180">
        <v>0</v>
      </c>
      <c r="Y28" s="180">
        <v>0</v>
      </c>
      <c r="Z28" s="180">
        <v>0</v>
      </c>
      <c r="AA28" s="180">
        <v>0</v>
      </c>
      <c r="AB28" s="180">
        <v>0</v>
      </c>
      <c r="AC28" s="180">
        <v>1</v>
      </c>
      <c r="AD28" s="181" t="s">
        <v>32</v>
      </c>
      <c r="AE28" s="180">
        <v>1</v>
      </c>
      <c r="AF28" s="182">
        <v>0</v>
      </c>
      <c r="AG28" s="183">
        <v>675</v>
      </c>
      <c r="AH28" s="184">
        <v>630</v>
      </c>
      <c r="AI28" s="180">
        <v>13</v>
      </c>
      <c r="AJ28" s="180">
        <v>0</v>
      </c>
      <c r="AK28" s="180">
        <v>17</v>
      </c>
      <c r="AL28" s="180">
        <v>11</v>
      </c>
      <c r="AM28" s="180">
        <v>0</v>
      </c>
      <c r="AN28" s="180">
        <v>0</v>
      </c>
      <c r="AO28" s="106">
        <v>132</v>
      </c>
      <c r="AP28" s="114">
        <v>3.2000000000000001E-2</v>
      </c>
      <c r="AQ28" s="79">
        <v>5</v>
      </c>
      <c r="AR28" s="103">
        <v>0</v>
      </c>
      <c r="AS28" s="103">
        <v>0</v>
      </c>
      <c r="AT28" s="103">
        <v>0</v>
      </c>
      <c r="AU28" s="103">
        <v>0</v>
      </c>
      <c r="AV28" s="103">
        <v>0</v>
      </c>
      <c r="AW28" s="103">
        <v>0</v>
      </c>
      <c r="AX28" s="103">
        <v>0</v>
      </c>
      <c r="AY28" s="103">
        <v>0</v>
      </c>
      <c r="AZ28" s="103">
        <v>0</v>
      </c>
      <c r="BA28" s="103">
        <v>0</v>
      </c>
      <c r="BB28" s="103">
        <v>0</v>
      </c>
      <c r="BC28" s="103">
        <v>0</v>
      </c>
      <c r="BD28" s="103">
        <v>0</v>
      </c>
      <c r="BE28" s="103">
        <v>0</v>
      </c>
      <c r="BF28" s="103">
        <v>0</v>
      </c>
      <c r="BG28" s="103">
        <v>0</v>
      </c>
      <c r="BH28" s="103">
        <v>0</v>
      </c>
      <c r="BI28" s="103">
        <v>0</v>
      </c>
      <c r="BJ28" s="103">
        <v>0</v>
      </c>
      <c r="BK28" s="103">
        <v>0</v>
      </c>
      <c r="BL28" s="103">
        <v>0</v>
      </c>
      <c r="BM28" s="103">
        <v>0</v>
      </c>
      <c r="BN28" s="103">
        <v>0</v>
      </c>
      <c r="BO28" s="103">
        <v>1</v>
      </c>
      <c r="BP28" s="103">
        <v>0</v>
      </c>
      <c r="BQ28" s="103">
        <v>0</v>
      </c>
      <c r="BR28" s="103">
        <v>0</v>
      </c>
      <c r="BS28" s="103">
        <v>1</v>
      </c>
      <c r="BT28" s="103">
        <v>0</v>
      </c>
      <c r="BU28" s="103">
        <v>0</v>
      </c>
      <c r="BV28" s="103">
        <v>0</v>
      </c>
      <c r="BW28" s="103">
        <v>0</v>
      </c>
      <c r="BX28" s="103">
        <v>0</v>
      </c>
      <c r="BY28" s="103">
        <v>0</v>
      </c>
      <c r="BZ28" s="103">
        <v>0</v>
      </c>
      <c r="CA28" s="103">
        <v>0</v>
      </c>
      <c r="CB28" s="103">
        <v>0</v>
      </c>
      <c r="CC28" s="103">
        <v>0</v>
      </c>
      <c r="CD28" s="103">
        <v>1</v>
      </c>
      <c r="CE28" s="103">
        <v>0</v>
      </c>
      <c r="CF28" s="103">
        <v>0</v>
      </c>
      <c r="CG28" s="103">
        <v>0</v>
      </c>
      <c r="CH28" s="103">
        <v>0</v>
      </c>
      <c r="CI28" s="103">
        <v>0</v>
      </c>
      <c r="CJ28" s="103">
        <v>0</v>
      </c>
      <c r="CK28" s="103">
        <v>0</v>
      </c>
      <c r="CL28" s="103">
        <v>0</v>
      </c>
      <c r="CM28" s="103">
        <v>0</v>
      </c>
      <c r="CN28" s="103">
        <v>0</v>
      </c>
      <c r="CO28" s="103">
        <v>0</v>
      </c>
      <c r="CP28" s="103">
        <v>0</v>
      </c>
      <c r="CQ28" s="103">
        <v>0</v>
      </c>
      <c r="CR28" s="103">
        <v>0</v>
      </c>
      <c r="CS28" s="103">
        <v>0</v>
      </c>
      <c r="CT28" s="103">
        <v>0</v>
      </c>
      <c r="CU28" s="103">
        <v>1</v>
      </c>
      <c r="CV28" s="103">
        <v>0</v>
      </c>
      <c r="CW28" s="103">
        <v>0</v>
      </c>
      <c r="CX28" s="103">
        <v>0</v>
      </c>
      <c r="CY28" s="103">
        <v>0</v>
      </c>
      <c r="CZ28" s="103">
        <v>0</v>
      </c>
      <c r="DA28" s="103">
        <v>0</v>
      </c>
      <c r="DB28" s="103">
        <v>0</v>
      </c>
      <c r="DC28" s="103">
        <v>1</v>
      </c>
      <c r="DD28" s="103">
        <v>0</v>
      </c>
      <c r="DE28" s="103">
        <v>0</v>
      </c>
      <c r="DF28" s="103">
        <v>0</v>
      </c>
      <c r="DG28" s="103">
        <v>0</v>
      </c>
      <c r="DH28" s="103">
        <v>0</v>
      </c>
      <c r="DI28" s="185">
        <v>0</v>
      </c>
      <c r="DJ28" s="185">
        <v>0</v>
      </c>
      <c r="DK28" s="185">
        <v>0</v>
      </c>
      <c r="DL28" s="103">
        <v>0</v>
      </c>
      <c r="DM28" s="103">
        <v>0</v>
      </c>
      <c r="DN28" s="103">
        <v>0</v>
      </c>
      <c r="DO28" s="103">
        <v>0</v>
      </c>
      <c r="DP28" s="103">
        <v>1</v>
      </c>
      <c r="DQ28" s="103">
        <v>0</v>
      </c>
      <c r="DR28" s="103">
        <v>0</v>
      </c>
      <c r="DS28" s="103">
        <v>0</v>
      </c>
      <c r="DT28" s="103">
        <v>0</v>
      </c>
      <c r="DU28" s="103">
        <v>0</v>
      </c>
      <c r="DV28" s="103">
        <v>0</v>
      </c>
      <c r="DW28" s="103">
        <v>0</v>
      </c>
      <c r="DX28" s="103">
        <v>0</v>
      </c>
      <c r="DY28" s="103">
        <v>0</v>
      </c>
      <c r="DZ28" s="103">
        <v>0</v>
      </c>
      <c r="EA28" s="103">
        <v>0</v>
      </c>
      <c r="EB28" s="103">
        <v>0</v>
      </c>
      <c r="EC28" s="103">
        <v>0</v>
      </c>
      <c r="ED28" s="103">
        <v>0</v>
      </c>
      <c r="EE28" s="103">
        <v>0</v>
      </c>
      <c r="EF28" s="103">
        <v>0</v>
      </c>
      <c r="EG28" s="103">
        <v>0</v>
      </c>
      <c r="EH28" s="103">
        <v>0</v>
      </c>
      <c r="EI28" s="103">
        <v>0</v>
      </c>
      <c r="EJ28" s="103">
        <v>0</v>
      </c>
      <c r="EK28" s="103">
        <v>0</v>
      </c>
      <c r="EL28" s="103">
        <v>0</v>
      </c>
      <c r="EM28" s="103">
        <v>0</v>
      </c>
      <c r="EN28" s="103">
        <v>0</v>
      </c>
      <c r="EO28" s="103">
        <v>0</v>
      </c>
      <c r="EP28" s="103">
        <v>0</v>
      </c>
      <c r="EQ28" s="103">
        <v>0</v>
      </c>
      <c r="ER28" s="103">
        <v>1</v>
      </c>
      <c r="ES28" s="103">
        <v>0</v>
      </c>
      <c r="ET28" s="103">
        <v>0</v>
      </c>
      <c r="EU28" s="103">
        <v>0</v>
      </c>
      <c r="EV28" s="103">
        <v>0</v>
      </c>
      <c r="EW28" s="103">
        <v>0</v>
      </c>
      <c r="EX28" s="103">
        <v>0</v>
      </c>
      <c r="EY28" s="103">
        <v>0</v>
      </c>
      <c r="EZ28" s="103">
        <v>0</v>
      </c>
      <c r="FA28" s="103">
        <v>0</v>
      </c>
      <c r="FB28" s="103">
        <v>0</v>
      </c>
      <c r="FC28" s="103">
        <v>0</v>
      </c>
      <c r="FD28" s="103">
        <v>0</v>
      </c>
      <c r="FE28" s="103">
        <v>0</v>
      </c>
      <c r="FF28" s="103">
        <v>0</v>
      </c>
      <c r="FG28" s="103">
        <v>0</v>
      </c>
      <c r="FH28" s="103">
        <v>0</v>
      </c>
      <c r="FI28" s="103">
        <v>0</v>
      </c>
      <c r="FJ28" s="103">
        <v>0</v>
      </c>
      <c r="FK28" s="103">
        <v>0</v>
      </c>
      <c r="FL28" s="103">
        <v>0</v>
      </c>
      <c r="FM28" s="103">
        <v>0</v>
      </c>
      <c r="FN28" s="103">
        <v>0</v>
      </c>
      <c r="FO28" s="103">
        <v>0</v>
      </c>
    </row>
    <row r="29" spans="1:171" s="174" customFormat="1" ht="14.45" x14ac:dyDescent="0.3">
      <c r="A29" s="175" t="s">
        <v>29</v>
      </c>
      <c r="B29" s="170" t="str">
        <f t="shared" si="2"/>
        <v>INN3x65C-HP00</v>
      </c>
      <c r="C29" s="176"/>
      <c r="D29" s="176"/>
      <c r="E29" s="176" t="s">
        <v>127</v>
      </c>
      <c r="F29" s="177"/>
      <c r="G29" s="177"/>
      <c r="H29" s="177"/>
      <c r="I29" s="178">
        <v>6</v>
      </c>
      <c r="J29" s="178">
        <v>5</v>
      </c>
      <c r="K29" s="153">
        <v>5</v>
      </c>
      <c r="L29" s="154">
        <v>5</v>
      </c>
      <c r="M29" s="179">
        <v>115</v>
      </c>
      <c r="N29" s="180">
        <v>950</v>
      </c>
      <c r="O29" s="179">
        <v>9.1</v>
      </c>
      <c r="P29" s="180">
        <v>25</v>
      </c>
      <c r="Q29" s="180">
        <v>0</v>
      </c>
      <c r="R29" s="180">
        <v>0</v>
      </c>
      <c r="S29" s="180">
        <v>0</v>
      </c>
      <c r="T29" s="180">
        <v>0</v>
      </c>
      <c r="U29" s="180">
        <v>0</v>
      </c>
      <c r="V29" s="180">
        <v>0</v>
      </c>
      <c r="W29" s="180">
        <v>0</v>
      </c>
      <c r="X29" s="180">
        <v>0</v>
      </c>
      <c r="Y29" s="180">
        <v>0</v>
      </c>
      <c r="Z29" s="180">
        <v>0</v>
      </c>
      <c r="AA29" s="180">
        <v>0</v>
      </c>
      <c r="AB29" s="180">
        <v>0</v>
      </c>
      <c r="AC29" s="180">
        <v>1</v>
      </c>
      <c r="AD29" s="181" t="s">
        <v>32</v>
      </c>
      <c r="AE29" s="180">
        <v>1</v>
      </c>
      <c r="AF29" s="182">
        <v>0</v>
      </c>
      <c r="AG29" s="183">
        <v>675</v>
      </c>
      <c r="AH29" s="184">
        <v>630</v>
      </c>
      <c r="AI29" s="180">
        <v>6</v>
      </c>
      <c r="AJ29" s="180">
        <v>0</v>
      </c>
      <c r="AK29" s="180">
        <v>10</v>
      </c>
      <c r="AL29" s="180">
        <v>6</v>
      </c>
      <c r="AM29" s="180">
        <v>0</v>
      </c>
      <c r="AN29" s="180">
        <v>0</v>
      </c>
      <c r="AO29" s="106">
        <v>132</v>
      </c>
      <c r="AP29" s="114">
        <v>3.2000000000000001E-2</v>
      </c>
      <c r="AQ29" s="79">
        <v>5</v>
      </c>
      <c r="AR29" s="103">
        <v>0</v>
      </c>
      <c r="AS29" s="103">
        <v>0</v>
      </c>
      <c r="AT29" s="103">
        <v>0</v>
      </c>
      <c r="AU29" s="103">
        <v>0</v>
      </c>
      <c r="AV29" s="103">
        <v>0</v>
      </c>
      <c r="AW29" s="103">
        <v>0</v>
      </c>
      <c r="AX29" s="103">
        <v>0</v>
      </c>
      <c r="AY29" s="103">
        <v>0</v>
      </c>
      <c r="AZ29" s="103">
        <v>0</v>
      </c>
      <c r="BA29" s="103">
        <v>0</v>
      </c>
      <c r="BB29" s="103">
        <v>0</v>
      </c>
      <c r="BC29" s="103">
        <v>0</v>
      </c>
      <c r="BD29" s="103">
        <v>0</v>
      </c>
      <c r="BE29" s="103">
        <v>0</v>
      </c>
      <c r="BF29" s="103">
        <v>0</v>
      </c>
      <c r="BG29" s="103">
        <v>0</v>
      </c>
      <c r="BH29" s="103">
        <v>0</v>
      </c>
      <c r="BI29" s="103">
        <v>0</v>
      </c>
      <c r="BJ29" s="103">
        <v>0</v>
      </c>
      <c r="BK29" s="103">
        <v>0</v>
      </c>
      <c r="BL29" s="103">
        <v>0</v>
      </c>
      <c r="BM29" s="103">
        <v>0</v>
      </c>
      <c r="BN29" s="103">
        <v>0</v>
      </c>
      <c r="BO29" s="103">
        <v>1</v>
      </c>
      <c r="BP29" s="103">
        <v>0</v>
      </c>
      <c r="BQ29" s="103">
        <v>0</v>
      </c>
      <c r="BR29" s="103">
        <v>0</v>
      </c>
      <c r="BS29" s="103">
        <v>1</v>
      </c>
      <c r="BT29" s="103">
        <v>0</v>
      </c>
      <c r="BU29" s="103">
        <v>0</v>
      </c>
      <c r="BV29" s="103">
        <v>0</v>
      </c>
      <c r="BW29" s="103">
        <v>0</v>
      </c>
      <c r="BX29" s="103">
        <v>0</v>
      </c>
      <c r="BY29" s="103">
        <v>0</v>
      </c>
      <c r="BZ29" s="103">
        <v>0</v>
      </c>
      <c r="CA29" s="103">
        <v>0</v>
      </c>
      <c r="CB29" s="103">
        <v>0</v>
      </c>
      <c r="CC29" s="103">
        <v>0</v>
      </c>
      <c r="CD29" s="103">
        <v>1</v>
      </c>
      <c r="CE29" s="103">
        <v>0</v>
      </c>
      <c r="CF29" s="103">
        <v>0</v>
      </c>
      <c r="CG29" s="103">
        <v>0</v>
      </c>
      <c r="CH29" s="103">
        <v>0</v>
      </c>
      <c r="CI29" s="103">
        <v>0</v>
      </c>
      <c r="CJ29" s="103">
        <v>0</v>
      </c>
      <c r="CK29" s="103">
        <v>0</v>
      </c>
      <c r="CL29" s="103">
        <v>0</v>
      </c>
      <c r="CM29" s="103">
        <v>0</v>
      </c>
      <c r="CN29" s="103">
        <v>0</v>
      </c>
      <c r="CO29" s="103">
        <v>0</v>
      </c>
      <c r="CP29" s="103">
        <v>0</v>
      </c>
      <c r="CQ29" s="103">
        <v>0</v>
      </c>
      <c r="CR29" s="103">
        <v>0</v>
      </c>
      <c r="CS29" s="103">
        <v>0</v>
      </c>
      <c r="CT29" s="103">
        <v>0</v>
      </c>
      <c r="CU29" s="103">
        <v>1</v>
      </c>
      <c r="CV29" s="103">
        <v>0</v>
      </c>
      <c r="CW29" s="103">
        <v>0</v>
      </c>
      <c r="CX29" s="103">
        <v>0</v>
      </c>
      <c r="CY29" s="103">
        <v>0</v>
      </c>
      <c r="CZ29" s="103">
        <v>0</v>
      </c>
      <c r="DA29" s="103">
        <v>0</v>
      </c>
      <c r="DB29" s="103">
        <v>0</v>
      </c>
      <c r="DC29" s="103">
        <v>1</v>
      </c>
      <c r="DD29" s="103">
        <v>0</v>
      </c>
      <c r="DE29" s="103">
        <v>0</v>
      </c>
      <c r="DF29" s="103">
        <v>0</v>
      </c>
      <c r="DG29" s="103">
        <v>0</v>
      </c>
      <c r="DH29" s="103">
        <v>0</v>
      </c>
      <c r="DI29" s="185">
        <v>0</v>
      </c>
      <c r="DJ29" s="185">
        <v>0</v>
      </c>
      <c r="DK29" s="185">
        <v>0</v>
      </c>
      <c r="DL29" s="103">
        <v>0</v>
      </c>
      <c r="DM29" s="103">
        <v>0</v>
      </c>
      <c r="DN29" s="103">
        <v>0</v>
      </c>
      <c r="DO29" s="103">
        <v>0</v>
      </c>
      <c r="DP29" s="103">
        <v>0</v>
      </c>
      <c r="DQ29" s="103">
        <v>0</v>
      </c>
      <c r="DR29" s="103">
        <v>0</v>
      </c>
      <c r="DS29" s="103">
        <v>0</v>
      </c>
      <c r="DT29" s="103">
        <v>0</v>
      </c>
      <c r="DU29" s="103">
        <v>0</v>
      </c>
      <c r="DV29" s="103">
        <v>0</v>
      </c>
      <c r="DW29" s="103">
        <v>0</v>
      </c>
      <c r="DX29" s="103">
        <v>0</v>
      </c>
      <c r="DY29" s="103">
        <v>0</v>
      </c>
      <c r="DZ29" s="103">
        <v>0</v>
      </c>
      <c r="EA29" s="103">
        <v>0</v>
      </c>
      <c r="EB29" s="103">
        <v>0</v>
      </c>
      <c r="EC29" s="103">
        <v>0</v>
      </c>
      <c r="ED29" s="103">
        <v>0</v>
      </c>
      <c r="EE29" s="103">
        <v>0</v>
      </c>
      <c r="EF29" s="103">
        <v>0</v>
      </c>
      <c r="EG29" s="103">
        <v>0</v>
      </c>
      <c r="EH29" s="103">
        <v>0</v>
      </c>
      <c r="EI29" s="103">
        <v>0</v>
      </c>
      <c r="EJ29" s="103">
        <v>0</v>
      </c>
      <c r="EK29" s="103">
        <v>0</v>
      </c>
      <c r="EL29" s="103">
        <v>0</v>
      </c>
      <c r="EM29" s="103">
        <v>0</v>
      </c>
      <c r="EN29" s="103">
        <v>0</v>
      </c>
      <c r="EO29" s="103">
        <v>0</v>
      </c>
      <c r="EP29" s="103">
        <v>0</v>
      </c>
      <c r="EQ29" s="103">
        <v>0</v>
      </c>
      <c r="ER29" s="103">
        <v>1</v>
      </c>
      <c r="ES29" s="103">
        <v>0</v>
      </c>
      <c r="ET29" s="103">
        <v>0</v>
      </c>
      <c r="EU29" s="103">
        <v>0</v>
      </c>
      <c r="EV29" s="103">
        <v>0</v>
      </c>
      <c r="EW29" s="103">
        <v>0</v>
      </c>
      <c r="EX29" s="103">
        <v>0</v>
      </c>
      <c r="EY29" s="103">
        <v>0</v>
      </c>
      <c r="EZ29" s="103">
        <v>0</v>
      </c>
      <c r="FA29" s="103">
        <v>0</v>
      </c>
      <c r="FB29" s="103">
        <v>0</v>
      </c>
      <c r="FC29" s="103">
        <v>0</v>
      </c>
      <c r="FD29" s="103">
        <v>0</v>
      </c>
      <c r="FE29" s="103">
        <v>0</v>
      </c>
      <c r="FF29" s="103">
        <v>0</v>
      </c>
      <c r="FG29" s="103">
        <v>0</v>
      </c>
      <c r="FH29" s="103">
        <v>0</v>
      </c>
      <c r="FI29" s="103">
        <v>0</v>
      </c>
      <c r="FJ29" s="103">
        <v>0</v>
      </c>
      <c r="FK29" s="103">
        <v>0</v>
      </c>
      <c r="FL29" s="103">
        <v>0</v>
      </c>
      <c r="FM29" s="103">
        <v>0</v>
      </c>
      <c r="FN29" s="103">
        <v>0</v>
      </c>
      <c r="FO29" s="103">
        <v>0</v>
      </c>
    </row>
    <row r="30" spans="1:171" s="174" customFormat="1" ht="14.45" x14ac:dyDescent="0.3">
      <c r="A30" s="175" t="s">
        <v>29</v>
      </c>
      <c r="B30" s="170" t="str">
        <f t="shared" si="2"/>
        <v>INN3x66C-HP01</v>
      </c>
      <c r="C30" s="176"/>
      <c r="D30" s="176"/>
      <c r="E30" s="176" t="s">
        <v>128</v>
      </c>
      <c r="F30" s="177"/>
      <c r="G30" s="177"/>
      <c r="H30" s="177"/>
      <c r="I30" s="178">
        <v>6</v>
      </c>
      <c r="J30" s="178">
        <v>6</v>
      </c>
      <c r="K30" s="153">
        <v>6</v>
      </c>
      <c r="L30" s="154">
        <v>6</v>
      </c>
      <c r="M30" s="179">
        <v>115</v>
      </c>
      <c r="N30" s="180">
        <v>1250</v>
      </c>
      <c r="O30" s="179">
        <v>9.1</v>
      </c>
      <c r="P30" s="180">
        <v>25</v>
      </c>
      <c r="Q30" s="180">
        <v>0</v>
      </c>
      <c r="R30" s="180">
        <v>0</v>
      </c>
      <c r="S30" s="180">
        <v>0</v>
      </c>
      <c r="T30" s="180">
        <v>0</v>
      </c>
      <c r="U30" s="180">
        <v>0</v>
      </c>
      <c r="V30" s="180">
        <v>0</v>
      </c>
      <c r="W30" s="180">
        <v>0</v>
      </c>
      <c r="X30" s="180">
        <v>0</v>
      </c>
      <c r="Y30" s="180">
        <v>0</v>
      </c>
      <c r="Z30" s="180">
        <v>0</v>
      </c>
      <c r="AA30" s="180">
        <v>0</v>
      </c>
      <c r="AB30" s="180">
        <v>0</v>
      </c>
      <c r="AC30" s="180">
        <v>1</v>
      </c>
      <c r="AD30" s="181" t="s">
        <v>32</v>
      </c>
      <c r="AE30" s="180">
        <v>1</v>
      </c>
      <c r="AF30" s="182">
        <v>0</v>
      </c>
      <c r="AG30" s="183">
        <v>675</v>
      </c>
      <c r="AH30" s="184">
        <v>630</v>
      </c>
      <c r="AI30" s="180">
        <v>10</v>
      </c>
      <c r="AJ30" s="180">
        <v>0</v>
      </c>
      <c r="AK30" s="180">
        <v>23</v>
      </c>
      <c r="AL30" s="180">
        <v>5</v>
      </c>
      <c r="AM30" s="180">
        <v>0</v>
      </c>
      <c r="AN30" s="180">
        <v>0</v>
      </c>
      <c r="AO30" s="106">
        <v>132</v>
      </c>
      <c r="AP30" s="114">
        <v>3.2000000000000001E-2</v>
      </c>
      <c r="AQ30" s="79">
        <v>5</v>
      </c>
      <c r="AR30" s="103">
        <v>0</v>
      </c>
      <c r="AS30" s="103">
        <v>0</v>
      </c>
      <c r="AT30" s="103">
        <v>0</v>
      </c>
      <c r="AU30" s="103">
        <v>0</v>
      </c>
      <c r="AV30" s="103">
        <v>0</v>
      </c>
      <c r="AW30" s="103">
        <v>0</v>
      </c>
      <c r="AX30" s="103">
        <v>0</v>
      </c>
      <c r="AY30" s="103">
        <v>0</v>
      </c>
      <c r="AZ30" s="103">
        <v>0</v>
      </c>
      <c r="BA30" s="103">
        <v>0</v>
      </c>
      <c r="BB30" s="103">
        <v>0</v>
      </c>
      <c r="BC30" s="103">
        <v>0</v>
      </c>
      <c r="BD30" s="103">
        <v>0</v>
      </c>
      <c r="BE30" s="103">
        <v>0</v>
      </c>
      <c r="BF30" s="103">
        <v>0</v>
      </c>
      <c r="BG30" s="103">
        <v>0</v>
      </c>
      <c r="BH30" s="103">
        <v>0</v>
      </c>
      <c r="BI30" s="103">
        <v>0</v>
      </c>
      <c r="BJ30" s="103">
        <v>0</v>
      </c>
      <c r="BK30" s="103">
        <v>0</v>
      </c>
      <c r="BL30" s="103">
        <v>0</v>
      </c>
      <c r="BM30" s="103">
        <v>0</v>
      </c>
      <c r="BN30" s="103">
        <v>0</v>
      </c>
      <c r="BO30" s="103">
        <v>1</v>
      </c>
      <c r="BP30" s="103">
        <v>0</v>
      </c>
      <c r="BQ30" s="103">
        <v>0</v>
      </c>
      <c r="BR30" s="103">
        <v>0</v>
      </c>
      <c r="BS30" s="103">
        <v>1</v>
      </c>
      <c r="BT30" s="103">
        <v>0</v>
      </c>
      <c r="BU30" s="103">
        <v>0</v>
      </c>
      <c r="BV30" s="103">
        <v>0</v>
      </c>
      <c r="BW30" s="103">
        <v>0</v>
      </c>
      <c r="BX30" s="103">
        <v>0</v>
      </c>
      <c r="BY30" s="103">
        <v>0</v>
      </c>
      <c r="BZ30" s="103">
        <v>0</v>
      </c>
      <c r="CA30" s="103">
        <v>0</v>
      </c>
      <c r="CB30" s="103">
        <v>0</v>
      </c>
      <c r="CC30" s="103">
        <v>0</v>
      </c>
      <c r="CD30" s="103">
        <v>1</v>
      </c>
      <c r="CE30" s="103">
        <v>0</v>
      </c>
      <c r="CF30" s="103">
        <v>0</v>
      </c>
      <c r="CG30" s="103">
        <v>0</v>
      </c>
      <c r="CH30" s="103">
        <v>0</v>
      </c>
      <c r="CI30" s="103">
        <v>0</v>
      </c>
      <c r="CJ30" s="103">
        <v>0</v>
      </c>
      <c r="CK30" s="103">
        <v>0</v>
      </c>
      <c r="CL30" s="103">
        <v>0</v>
      </c>
      <c r="CM30" s="103">
        <v>0</v>
      </c>
      <c r="CN30" s="103">
        <v>0</v>
      </c>
      <c r="CO30" s="103">
        <v>0</v>
      </c>
      <c r="CP30" s="103">
        <v>0</v>
      </c>
      <c r="CQ30" s="103">
        <v>0</v>
      </c>
      <c r="CR30" s="103">
        <v>0</v>
      </c>
      <c r="CS30" s="103">
        <v>0</v>
      </c>
      <c r="CT30" s="103">
        <v>0</v>
      </c>
      <c r="CU30" s="103">
        <v>1</v>
      </c>
      <c r="CV30" s="103">
        <v>0</v>
      </c>
      <c r="CW30" s="103">
        <v>0</v>
      </c>
      <c r="CX30" s="103">
        <v>0</v>
      </c>
      <c r="CY30" s="103">
        <v>0</v>
      </c>
      <c r="CZ30" s="103">
        <v>0</v>
      </c>
      <c r="DA30" s="103">
        <v>0</v>
      </c>
      <c r="DB30" s="103">
        <v>0</v>
      </c>
      <c r="DC30" s="103">
        <v>1</v>
      </c>
      <c r="DD30" s="103">
        <v>0</v>
      </c>
      <c r="DE30" s="103">
        <v>0</v>
      </c>
      <c r="DF30" s="103">
        <v>0</v>
      </c>
      <c r="DG30" s="103">
        <v>0</v>
      </c>
      <c r="DH30" s="103">
        <v>0</v>
      </c>
      <c r="DI30" s="185">
        <v>0</v>
      </c>
      <c r="DJ30" s="185">
        <v>0</v>
      </c>
      <c r="DK30" s="185">
        <v>0</v>
      </c>
      <c r="DL30" s="103">
        <v>0</v>
      </c>
      <c r="DM30" s="103">
        <v>0</v>
      </c>
      <c r="DN30" s="103">
        <v>0</v>
      </c>
      <c r="DO30" s="103">
        <v>0</v>
      </c>
      <c r="DP30" s="103">
        <v>0</v>
      </c>
      <c r="DQ30" s="103">
        <v>0</v>
      </c>
      <c r="DR30" s="103">
        <v>0</v>
      </c>
      <c r="DS30" s="103">
        <v>0</v>
      </c>
      <c r="DT30" s="103">
        <v>0</v>
      </c>
      <c r="DU30" s="103">
        <v>0</v>
      </c>
      <c r="DV30" s="103">
        <v>0</v>
      </c>
      <c r="DW30" s="103">
        <v>0</v>
      </c>
      <c r="DX30" s="103">
        <v>0</v>
      </c>
      <c r="DY30" s="103">
        <v>0</v>
      </c>
      <c r="DZ30" s="103">
        <v>0</v>
      </c>
      <c r="EA30" s="103">
        <v>0</v>
      </c>
      <c r="EB30" s="103">
        <v>0</v>
      </c>
      <c r="EC30" s="103">
        <v>0</v>
      </c>
      <c r="ED30" s="103">
        <v>0</v>
      </c>
      <c r="EE30" s="103">
        <v>0</v>
      </c>
      <c r="EF30" s="103">
        <v>0</v>
      </c>
      <c r="EG30" s="103">
        <v>0</v>
      </c>
      <c r="EH30" s="103">
        <v>0</v>
      </c>
      <c r="EI30" s="103">
        <v>0</v>
      </c>
      <c r="EJ30" s="103">
        <v>0</v>
      </c>
      <c r="EK30" s="103">
        <v>0</v>
      </c>
      <c r="EL30" s="103">
        <v>0</v>
      </c>
      <c r="EM30" s="103">
        <v>0</v>
      </c>
      <c r="EN30" s="103">
        <v>0</v>
      </c>
      <c r="EO30" s="103">
        <v>0</v>
      </c>
      <c r="EP30" s="103">
        <v>0</v>
      </c>
      <c r="EQ30" s="103">
        <v>0</v>
      </c>
      <c r="ER30" s="103">
        <v>1</v>
      </c>
      <c r="ES30" s="103">
        <v>0</v>
      </c>
      <c r="ET30" s="103">
        <v>0</v>
      </c>
      <c r="EU30" s="103">
        <v>0</v>
      </c>
      <c r="EV30" s="103">
        <v>0</v>
      </c>
      <c r="EW30" s="103">
        <v>0</v>
      </c>
      <c r="EX30" s="103">
        <v>0</v>
      </c>
      <c r="EY30" s="103">
        <v>0</v>
      </c>
      <c r="EZ30" s="103">
        <v>0</v>
      </c>
      <c r="FA30" s="103">
        <v>0</v>
      </c>
      <c r="FB30" s="103">
        <v>0</v>
      </c>
      <c r="FC30" s="103">
        <v>0</v>
      </c>
      <c r="FD30" s="103">
        <v>0</v>
      </c>
      <c r="FE30" s="103">
        <v>0</v>
      </c>
      <c r="FF30" s="103">
        <v>0</v>
      </c>
      <c r="FG30" s="103">
        <v>0</v>
      </c>
      <c r="FH30" s="103">
        <v>0</v>
      </c>
      <c r="FI30" s="103">
        <v>0</v>
      </c>
      <c r="FJ30" s="103">
        <v>0</v>
      </c>
      <c r="FK30" s="103">
        <v>0</v>
      </c>
      <c r="FL30" s="103">
        <v>0</v>
      </c>
      <c r="FM30" s="103">
        <v>0</v>
      </c>
      <c r="FN30" s="103">
        <v>0</v>
      </c>
      <c r="FO30" s="103">
        <v>0</v>
      </c>
    </row>
    <row r="31" spans="1:171" s="174" customFormat="1" ht="14.45" x14ac:dyDescent="0.3">
      <c r="A31" s="175" t="s">
        <v>29</v>
      </c>
      <c r="B31" s="170" t="str">
        <f t="shared" si="2"/>
        <v>INN3x67C-HP02</v>
      </c>
      <c r="C31" s="176"/>
      <c r="D31" s="176"/>
      <c r="E31" s="176" t="s">
        <v>130</v>
      </c>
      <c r="F31" s="177"/>
      <c r="G31" s="177"/>
      <c r="H31" s="177"/>
      <c r="I31" s="178">
        <v>6</v>
      </c>
      <c r="J31" s="178">
        <v>7</v>
      </c>
      <c r="K31" s="153">
        <v>7</v>
      </c>
      <c r="L31" s="154">
        <v>7</v>
      </c>
      <c r="M31" s="179">
        <v>115</v>
      </c>
      <c r="N31" s="180">
        <v>1450</v>
      </c>
      <c r="O31" s="179">
        <v>9.1</v>
      </c>
      <c r="P31" s="180">
        <v>25</v>
      </c>
      <c r="Q31" s="180">
        <v>0</v>
      </c>
      <c r="R31" s="180">
        <v>0</v>
      </c>
      <c r="S31" s="180">
        <v>0</v>
      </c>
      <c r="T31" s="180">
        <v>0</v>
      </c>
      <c r="U31" s="180">
        <v>0</v>
      </c>
      <c r="V31" s="180">
        <v>0</v>
      </c>
      <c r="W31" s="180">
        <v>0</v>
      </c>
      <c r="X31" s="180">
        <v>0</v>
      </c>
      <c r="Y31" s="180">
        <v>0</v>
      </c>
      <c r="Z31" s="180">
        <v>0</v>
      </c>
      <c r="AA31" s="180">
        <v>0</v>
      </c>
      <c r="AB31" s="180">
        <v>0</v>
      </c>
      <c r="AC31" s="180">
        <v>1</v>
      </c>
      <c r="AD31" s="181" t="s">
        <v>32</v>
      </c>
      <c r="AE31" s="180">
        <v>1</v>
      </c>
      <c r="AF31" s="182">
        <v>0</v>
      </c>
      <c r="AG31" s="183">
        <v>675</v>
      </c>
      <c r="AH31" s="184">
        <v>630</v>
      </c>
      <c r="AI31" s="180">
        <v>8</v>
      </c>
      <c r="AJ31" s="180">
        <v>0</v>
      </c>
      <c r="AK31" s="180">
        <v>21</v>
      </c>
      <c r="AL31" s="180">
        <v>10</v>
      </c>
      <c r="AM31" s="180">
        <v>0</v>
      </c>
      <c r="AN31" s="180">
        <v>0</v>
      </c>
      <c r="AO31" s="106">
        <v>132</v>
      </c>
      <c r="AP31" s="114">
        <v>3.2000000000000001E-2</v>
      </c>
      <c r="AQ31" s="79">
        <v>5</v>
      </c>
      <c r="AR31" s="103">
        <v>0</v>
      </c>
      <c r="AS31" s="103">
        <v>0</v>
      </c>
      <c r="AT31" s="103">
        <v>0</v>
      </c>
      <c r="AU31" s="103">
        <v>0</v>
      </c>
      <c r="AV31" s="103">
        <v>0</v>
      </c>
      <c r="AW31" s="103">
        <v>0</v>
      </c>
      <c r="AX31" s="103">
        <v>0</v>
      </c>
      <c r="AY31" s="103">
        <v>0</v>
      </c>
      <c r="AZ31" s="103">
        <v>0</v>
      </c>
      <c r="BA31" s="103">
        <v>0</v>
      </c>
      <c r="BB31" s="103">
        <v>0</v>
      </c>
      <c r="BC31" s="103">
        <v>0</v>
      </c>
      <c r="BD31" s="103">
        <v>0</v>
      </c>
      <c r="BE31" s="103">
        <v>0</v>
      </c>
      <c r="BF31" s="103">
        <v>0</v>
      </c>
      <c r="BG31" s="103">
        <v>0</v>
      </c>
      <c r="BH31" s="103">
        <v>0</v>
      </c>
      <c r="BI31" s="103">
        <v>0</v>
      </c>
      <c r="BJ31" s="103">
        <v>0</v>
      </c>
      <c r="BK31" s="103">
        <v>0</v>
      </c>
      <c r="BL31" s="103">
        <v>0</v>
      </c>
      <c r="BM31" s="103">
        <v>0</v>
      </c>
      <c r="BN31" s="103">
        <v>0</v>
      </c>
      <c r="BO31" s="103">
        <v>1</v>
      </c>
      <c r="BP31" s="103">
        <v>0</v>
      </c>
      <c r="BQ31" s="103">
        <v>0</v>
      </c>
      <c r="BR31" s="103">
        <v>0</v>
      </c>
      <c r="BS31" s="103">
        <v>1</v>
      </c>
      <c r="BT31" s="103">
        <v>0</v>
      </c>
      <c r="BU31" s="103">
        <v>0</v>
      </c>
      <c r="BV31" s="103">
        <v>0</v>
      </c>
      <c r="BW31" s="103">
        <v>0</v>
      </c>
      <c r="BX31" s="103">
        <v>0</v>
      </c>
      <c r="BY31" s="103">
        <v>0</v>
      </c>
      <c r="BZ31" s="103">
        <v>0</v>
      </c>
      <c r="CA31" s="103">
        <v>0</v>
      </c>
      <c r="CB31" s="103">
        <v>0</v>
      </c>
      <c r="CC31" s="103">
        <v>0</v>
      </c>
      <c r="CD31" s="103">
        <v>1</v>
      </c>
      <c r="CE31" s="103">
        <v>0</v>
      </c>
      <c r="CF31" s="103">
        <v>0</v>
      </c>
      <c r="CG31" s="103">
        <v>0</v>
      </c>
      <c r="CH31" s="103">
        <v>0</v>
      </c>
      <c r="CI31" s="103">
        <v>0</v>
      </c>
      <c r="CJ31" s="103">
        <v>0</v>
      </c>
      <c r="CK31" s="103">
        <v>0</v>
      </c>
      <c r="CL31" s="103">
        <v>0</v>
      </c>
      <c r="CM31" s="103">
        <v>0</v>
      </c>
      <c r="CN31" s="103">
        <v>0</v>
      </c>
      <c r="CO31" s="103">
        <v>0</v>
      </c>
      <c r="CP31" s="103">
        <v>0</v>
      </c>
      <c r="CQ31" s="103">
        <v>0</v>
      </c>
      <c r="CR31" s="103">
        <v>0</v>
      </c>
      <c r="CS31" s="103">
        <v>0</v>
      </c>
      <c r="CT31" s="103">
        <v>0</v>
      </c>
      <c r="CU31" s="103">
        <v>1</v>
      </c>
      <c r="CV31" s="103">
        <v>0</v>
      </c>
      <c r="CW31" s="103">
        <v>0</v>
      </c>
      <c r="CX31" s="103">
        <v>0</v>
      </c>
      <c r="CY31" s="103">
        <v>0</v>
      </c>
      <c r="CZ31" s="103">
        <v>0</v>
      </c>
      <c r="DA31" s="103">
        <v>0</v>
      </c>
      <c r="DB31" s="103">
        <v>0</v>
      </c>
      <c r="DC31" s="103">
        <v>1</v>
      </c>
      <c r="DD31" s="103">
        <v>0</v>
      </c>
      <c r="DE31" s="103">
        <v>0</v>
      </c>
      <c r="DF31" s="103">
        <v>0</v>
      </c>
      <c r="DG31" s="103">
        <v>0</v>
      </c>
      <c r="DH31" s="103">
        <v>0</v>
      </c>
      <c r="DI31" s="185">
        <v>0</v>
      </c>
      <c r="DJ31" s="185">
        <v>0</v>
      </c>
      <c r="DK31" s="185">
        <v>0</v>
      </c>
      <c r="DL31" s="103">
        <v>0</v>
      </c>
      <c r="DM31" s="103">
        <v>0</v>
      </c>
      <c r="DN31" s="103">
        <v>0</v>
      </c>
      <c r="DO31" s="103">
        <v>0</v>
      </c>
      <c r="DP31" s="103">
        <v>0</v>
      </c>
      <c r="DQ31" s="103">
        <v>0</v>
      </c>
      <c r="DR31" s="103">
        <v>0</v>
      </c>
      <c r="DS31" s="103">
        <v>0</v>
      </c>
      <c r="DT31" s="103">
        <v>0</v>
      </c>
      <c r="DU31" s="103">
        <v>0</v>
      </c>
      <c r="DV31" s="103">
        <v>0</v>
      </c>
      <c r="DW31" s="103">
        <v>0</v>
      </c>
      <c r="DX31" s="103">
        <v>0</v>
      </c>
      <c r="DY31" s="103">
        <v>0</v>
      </c>
      <c r="DZ31" s="103">
        <v>0</v>
      </c>
      <c r="EA31" s="103">
        <v>0</v>
      </c>
      <c r="EB31" s="103">
        <v>0</v>
      </c>
      <c r="EC31" s="103">
        <v>0</v>
      </c>
      <c r="ED31" s="103">
        <v>0</v>
      </c>
      <c r="EE31" s="103">
        <v>0</v>
      </c>
      <c r="EF31" s="103">
        <v>0</v>
      </c>
      <c r="EG31" s="103">
        <v>0</v>
      </c>
      <c r="EH31" s="103">
        <v>0</v>
      </c>
      <c r="EI31" s="103">
        <v>0</v>
      </c>
      <c r="EJ31" s="103">
        <v>0</v>
      </c>
      <c r="EK31" s="103">
        <v>0</v>
      </c>
      <c r="EL31" s="103">
        <v>0</v>
      </c>
      <c r="EM31" s="103">
        <v>0</v>
      </c>
      <c r="EN31" s="103">
        <v>0</v>
      </c>
      <c r="EO31" s="103">
        <v>0</v>
      </c>
      <c r="EP31" s="103">
        <v>0</v>
      </c>
      <c r="EQ31" s="103">
        <v>0</v>
      </c>
      <c r="ER31" s="103">
        <v>1</v>
      </c>
      <c r="ES31" s="103">
        <v>0</v>
      </c>
      <c r="ET31" s="103">
        <v>0</v>
      </c>
      <c r="EU31" s="103">
        <v>0</v>
      </c>
      <c r="EV31" s="103">
        <v>0</v>
      </c>
      <c r="EW31" s="103">
        <v>0</v>
      </c>
      <c r="EX31" s="103">
        <v>0</v>
      </c>
      <c r="EY31" s="103">
        <v>0</v>
      </c>
      <c r="EZ31" s="103">
        <v>0</v>
      </c>
      <c r="FA31" s="103">
        <v>0</v>
      </c>
      <c r="FB31" s="103">
        <v>0</v>
      </c>
      <c r="FC31" s="103">
        <v>0</v>
      </c>
      <c r="FD31" s="103">
        <v>0</v>
      </c>
      <c r="FE31" s="103">
        <v>0</v>
      </c>
      <c r="FF31" s="103">
        <v>0</v>
      </c>
      <c r="FG31" s="103">
        <v>0</v>
      </c>
      <c r="FH31" s="103">
        <v>0</v>
      </c>
      <c r="FI31" s="103">
        <v>0</v>
      </c>
      <c r="FJ31" s="103">
        <v>0</v>
      </c>
      <c r="FK31" s="103">
        <v>0</v>
      </c>
      <c r="FL31" s="103">
        <v>0</v>
      </c>
      <c r="FM31" s="103">
        <v>0</v>
      </c>
      <c r="FN31" s="103">
        <v>0</v>
      </c>
      <c r="FO31" s="103">
        <v>0</v>
      </c>
    </row>
    <row r="32" spans="1:171" s="174" customFormat="1" ht="14.45" x14ac:dyDescent="0.3">
      <c r="A32" s="175" t="s">
        <v>29</v>
      </c>
      <c r="B32" s="170" t="str">
        <f t="shared" si="2"/>
        <v>INN3x68C-HP03</v>
      </c>
      <c r="C32" s="176"/>
      <c r="D32" s="176"/>
      <c r="E32" s="176" t="s">
        <v>404</v>
      </c>
      <c r="F32" s="177"/>
      <c r="G32" s="177"/>
      <c r="H32" s="177"/>
      <c r="I32" s="178">
        <v>6</v>
      </c>
      <c r="J32" s="178">
        <v>8</v>
      </c>
      <c r="K32" s="153">
        <v>8</v>
      </c>
      <c r="L32" s="154">
        <v>8</v>
      </c>
      <c r="M32" s="179">
        <v>115</v>
      </c>
      <c r="N32" s="180">
        <v>1650</v>
      </c>
      <c r="O32" s="179">
        <v>9.1</v>
      </c>
      <c r="P32" s="180">
        <v>25</v>
      </c>
      <c r="Q32" s="180">
        <v>0</v>
      </c>
      <c r="R32" s="180">
        <v>0</v>
      </c>
      <c r="S32" s="180">
        <v>0</v>
      </c>
      <c r="T32" s="180">
        <v>0</v>
      </c>
      <c r="U32" s="180">
        <v>0</v>
      </c>
      <c r="V32" s="180">
        <v>0</v>
      </c>
      <c r="W32" s="180">
        <v>0</v>
      </c>
      <c r="X32" s="180">
        <v>0</v>
      </c>
      <c r="Y32" s="180">
        <v>0</v>
      </c>
      <c r="Z32" s="180">
        <v>0</v>
      </c>
      <c r="AA32" s="180">
        <v>0</v>
      </c>
      <c r="AB32" s="180">
        <v>0</v>
      </c>
      <c r="AC32" s="180">
        <v>1</v>
      </c>
      <c r="AD32" s="181" t="s">
        <v>32</v>
      </c>
      <c r="AE32" s="180">
        <v>1</v>
      </c>
      <c r="AF32" s="182">
        <v>0</v>
      </c>
      <c r="AG32" s="183">
        <v>675</v>
      </c>
      <c r="AH32" s="184">
        <v>630</v>
      </c>
      <c r="AI32" s="180">
        <v>13</v>
      </c>
      <c r="AJ32" s="180">
        <v>0</v>
      </c>
      <c r="AK32" s="180">
        <v>17</v>
      </c>
      <c r="AL32" s="180">
        <v>11</v>
      </c>
      <c r="AM32" s="180">
        <v>0</v>
      </c>
      <c r="AN32" s="180">
        <v>0</v>
      </c>
      <c r="AO32" s="106">
        <v>132</v>
      </c>
      <c r="AP32" s="114">
        <v>3.2000000000000001E-2</v>
      </c>
      <c r="AQ32" s="79">
        <v>5</v>
      </c>
      <c r="AR32" s="103">
        <v>0</v>
      </c>
      <c r="AS32" s="103">
        <v>0</v>
      </c>
      <c r="AT32" s="103">
        <v>0</v>
      </c>
      <c r="AU32" s="103">
        <v>0</v>
      </c>
      <c r="AV32" s="103">
        <v>0</v>
      </c>
      <c r="AW32" s="103">
        <v>0</v>
      </c>
      <c r="AX32" s="103">
        <v>0</v>
      </c>
      <c r="AY32" s="103">
        <v>0</v>
      </c>
      <c r="AZ32" s="103">
        <v>0</v>
      </c>
      <c r="BA32" s="103">
        <v>0</v>
      </c>
      <c r="BB32" s="103">
        <v>0</v>
      </c>
      <c r="BC32" s="103">
        <v>0</v>
      </c>
      <c r="BD32" s="103">
        <v>0</v>
      </c>
      <c r="BE32" s="103">
        <v>0</v>
      </c>
      <c r="BF32" s="103">
        <v>0</v>
      </c>
      <c r="BG32" s="103">
        <v>0</v>
      </c>
      <c r="BH32" s="103">
        <v>0</v>
      </c>
      <c r="BI32" s="103">
        <v>0</v>
      </c>
      <c r="BJ32" s="103">
        <v>0</v>
      </c>
      <c r="BK32" s="103">
        <v>0</v>
      </c>
      <c r="BL32" s="103">
        <v>0</v>
      </c>
      <c r="BM32" s="103">
        <v>0</v>
      </c>
      <c r="BN32" s="103">
        <v>0</v>
      </c>
      <c r="BO32" s="103">
        <v>1</v>
      </c>
      <c r="BP32" s="103">
        <v>0</v>
      </c>
      <c r="BQ32" s="103">
        <v>0</v>
      </c>
      <c r="BR32" s="103">
        <v>0</v>
      </c>
      <c r="BS32" s="103">
        <v>1</v>
      </c>
      <c r="BT32" s="103">
        <v>0</v>
      </c>
      <c r="BU32" s="103">
        <v>0</v>
      </c>
      <c r="BV32" s="103">
        <v>0</v>
      </c>
      <c r="BW32" s="103">
        <v>0</v>
      </c>
      <c r="BX32" s="103">
        <v>0</v>
      </c>
      <c r="BY32" s="103">
        <v>0</v>
      </c>
      <c r="BZ32" s="103">
        <v>0</v>
      </c>
      <c r="CA32" s="103">
        <v>0</v>
      </c>
      <c r="CB32" s="103">
        <v>0</v>
      </c>
      <c r="CC32" s="103">
        <v>0</v>
      </c>
      <c r="CD32" s="103">
        <v>1</v>
      </c>
      <c r="CE32" s="103">
        <v>0</v>
      </c>
      <c r="CF32" s="103">
        <v>0</v>
      </c>
      <c r="CG32" s="103">
        <v>0</v>
      </c>
      <c r="CH32" s="103">
        <v>0</v>
      </c>
      <c r="CI32" s="103">
        <v>0</v>
      </c>
      <c r="CJ32" s="103">
        <v>0</v>
      </c>
      <c r="CK32" s="103">
        <v>0</v>
      </c>
      <c r="CL32" s="103">
        <v>0</v>
      </c>
      <c r="CM32" s="103">
        <v>0</v>
      </c>
      <c r="CN32" s="103">
        <v>0</v>
      </c>
      <c r="CO32" s="103">
        <v>0</v>
      </c>
      <c r="CP32" s="103">
        <v>0</v>
      </c>
      <c r="CQ32" s="103">
        <v>0</v>
      </c>
      <c r="CR32" s="103">
        <v>0</v>
      </c>
      <c r="CS32" s="103">
        <v>0</v>
      </c>
      <c r="CT32" s="103">
        <v>0</v>
      </c>
      <c r="CU32" s="103">
        <v>1</v>
      </c>
      <c r="CV32" s="103">
        <v>0</v>
      </c>
      <c r="CW32" s="103">
        <v>0</v>
      </c>
      <c r="CX32" s="103">
        <v>0</v>
      </c>
      <c r="CY32" s="103">
        <v>0</v>
      </c>
      <c r="CZ32" s="103">
        <v>0</v>
      </c>
      <c r="DA32" s="103">
        <v>0</v>
      </c>
      <c r="DB32" s="103">
        <v>0</v>
      </c>
      <c r="DC32" s="103">
        <v>1</v>
      </c>
      <c r="DD32" s="103">
        <v>0</v>
      </c>
      <c r="DE32" s="103">
        <v>0</v>
      </c>
      <c r="DF32" s="103">
        <v>0</v>
      </c>
      <c r="DG32" s="103">
        <v>0</v>
      </c>
      <c r="DH32" s="103">
        <v>0</v>
      </c>
      <c r="DI32" s="185">
        <v>0</v>
      </c>
      <c r="DJ32" s="185">
        <v>0</v>
      </c>
      <c r="DK32" s="185">
        <v>0</v>
      </c>
      <c r="DL32" s="103">
        <v>0</v>
      </c>
      <c r="DM32" s="103">
        <v>0</v>
      </c>
      <c r="DN32" s="103">
        <v>0</v>
      </c>
      <c r="DO32" s="103">
        <v>0</v>
      </c>
      <c r="DP32" s="103">
        <v>0</v>
      </c>
      <c r="DQ32" s="103">
        <v>0</v>
      </c>
      <c r="DR32" s="103">
        <v>0</v>
      </c>
      <c r="DS32" s="103">
        <v>0</v>
      </c>
      <c r="DT32" s="103">
        <v>0</v>
      </c>
      <c r="DU32" s="103">
        <v>0</v>
      </c>
      <c r="DV32" s="103">
        <v>0</v>
      </c>
      <c r="DW32" s="103">
        <v>0</v>
      </c>
      <c r="DX32" s="103">
        <v>0</v>
      </c>
      <c r="DY32" s="103">
        <v>0</v>
      </c>
      <c r="DZ32" s="103">
        <v>0</v>
      </c>
      <c r="EA32" s="103">
        <v>0</v>
      </c>
      <c r="EB32" s="103">
        <v>0</v>
      </c>
      <c r="EC32" s="103">
        <v>0</v>
      </c>
      <c r="ED32" s="103">
        <v>0</v>
      </c>
      <c r="EE32" s="103">
        <v>0</v>
      </c>
      <c r="EF32" s="103">
        <v>0</v>
      </c>
      <c r="EG32" s="103">
        <v>0</v>
      </c>
      <c r="EH32" s="103">
        <v>0</v>
      </c>
      <c r="EI32" s="103">
        <v>0</v>
      </c>
      <c r="EJ32" s="103">
        <v>0</v>
      </c>
      <c r="EK32" s="103">
        <v>0</v>
      </c>
      <c r="EL32" s="103">
        <v>0</v>
      </c>
      <c r="EM32" s="103">
        <v>0</v>
      </c>
      <c r="EN32" s="103">
        <v>0</v>
      </c>
      <c r="EO32" s="103">
        <v>0</v>
      </c>
      <c r="EP32" s="103">
        <v>0</v>
      </c>
      <c r="EQ32" s="103">
        <v>0</v>
      </c>
      <c r="ER32" s="103">
        <v>1</v>
      </c>
      <c r="ES32" s="103">
        <v>0</v>
      </c>
      <c r="ET32" s="103">
        <v>0</v>
      </c>
      <c r="EU32" s="103">
        <v>0</v>
      </c>
      <c r="EV32" s="103">
        <v>0</v>
      </c>
      <c r="EW32" s="103">
        <v>0</v>
      </c>
      <c r="EX32" s="103">
        <v>0</v>
      </c>
      <c r="EY32" s="103">
        <v>0</v>
      </c>
      <c r="EZ32" s="103">
        <v>0</v>
      </c>
      <c r="FA32" s="103">
        <v>0</v>
      </c>
      <c r="FB32" s="103">
        <v>0</v>
      </c>
      <c r="FC32" s="103">
        <v>0</v>
      </c>
      <c r="FD32" s="103">
        <v>0</v>
      </c>
      <c r="FE32" s="103">
        <v>0</v>
      </c>
      <c r="FF32" s="103">
        <v>0</v>
      </c>
      <c r="FG32" s="103">
        <v>0</v>
      </c>
      <c r="FH32" s="103">
        <v>0</v>
      </c>
      <c r="FI32" s="103">
        <v>0</v>
      </c>
      <c r="FJ32" s="103">
        <v>0</v>
      </c>
      <c r="FK32" s="103">
        <v>0</v>
      </c>
      <c r="FL32" s="103">
        <v>0</v>
      </c>
      <c r="FM32" s="103">
        <v>0</v>
      </c>
      <c r="FN32" s="103">
        <v>0</v>
      </c>
      <c r="FO32" s="103">
        <v>0</v>
      </c>
    </row>
    <row r="33" spans="1:171" s="174" customFormat="1" ht="14.45" x14ac:dyDescent="0.3">
      <c r="A33" s="175" t="s">
        <v>29</v>
      </c>
      <c r="B33" s="170" t="str">
        <f t="shared" si="2"/>
        <v>INN3x75C-HP04</v>
      </c>
      <c r="C33" s="176"/>
      <c r="D33" s="176"/>
      <c r="E33" s="176" t="s">
        <v>409</v>
      </c>
      <c r="F33" s="177"/>
      <c r="G33" s="177"/>
      <c r="H33" s="177"/>
      <c r="I33" s="178">
        <v>7</v>
      </c>
      <c r="J33" s="178">
        <v>5</v>
      </c>
      <c r="K33" s="153">
        <v>5</v>
      </c>
      <c r="L33" s="154">
        <v>5</v>
      </c>
      <c r="M33" s="179">
        <v>115</v>
      </c>
      <c r="N33" s="180">
        <v>950</v>
      </c>
      <c r="O33" s="179">
        <v>9.1</v>
      </c>
      <c r="P33" s="180">
        <v>25</v>
      </c>
      <c r="Q33" s="180">
        <v>0</v>
      </c>
      <c r="R33" s="180">
        <v>0</v>
      </c>
      <c r="S33" s="180">
        <v>0</v>
      </c>
      <c r="T33" s="180">
        <v>0</v>
      </c>
      <c r="U33" s="180">
        <v>0</v>
      </c>
      <c r="V33" s="180">
        <v>0</v>
      </c>
      <c r="W33" s="180">
        <v>0</v>
      </c>
      <c r="X33" s="180">
        <v>0</v>
      </c>
      <c r="Y33" s="180">
        <v>0</v>
      </c>
      <c r="Z33" s="180">
        <v>0</v>
      </c>
      <c r="AA33" s="180">
        <v>0</v>
      </c>
      <c r="AB33" s="180">
        <v>0</v>
      </c>
      <c r="AC33" s="180">
        <v>1</v>
      </c>
      <c r="AD33" s="181" t="s">
        <v>32</v>
      </c>
      <c r="AE33" s="180">
        <v>1</v>
      </c>
      <c r="AF33" s="182">
        <v>0</v>
      </c>
      <c r="AG33" s="183">
        <v>750</v>
      </c>
      <c r="AH33" s="184">
        <v>705</v>
      </c>
      <c r="AI33" s="180">
        <v>10</v>
      </c>
      <c r="AJ33" s="180">
        <v>0</v>
      </c>
      <c r="AK33" s="180">
        <v>31</v>
      </c>
      <c r="AL33" s="180">
        <v>6</v>
      </c>
      <c r="AM33" s="180">
        <v>0</v>
      </c>
      <c r="AN33" s="180">
        <v>0</v>
      </c>
      <c r="AO33" s="106">
        <v>132</v>
      </c>
      <c r="AP33" s="114">
        <v>3.2000000000000001E-2</v>
      </c>
      <c r="AQ33" s="79">
        <v>5</v>
      </c>
      <c r="AR33" s="103">
        <v>0</v>
      </c>
      <c r="AS33" s="103">
        <v>0</v>
      </c>
      <c r="AT33" s="103">
        <v>0</v>
      </c>
      <c r="AU33" s="103">
        <v>0</v>
      </c>
      <c r="AV33" s="103">
        <v>0</v>
      </c>
      <c r="AW33" s="103">
        <v>0</v>
      </c>
      <c r="AX33" s="103">
        <v>0</v>
      </c>
      <c r="AY33" s="103">
        <v>0</v>
      </c>
      <c r="AZ33" s="103">
        <v>0</v>
      </c>
      <c r="BA33" s="103">
        <v>0</v>
      </c>
      <c r="BB33" s="103">
        <v>0</v>
      </c>
      <c r="BC33" s="103">
        <v>0</v>
      </c>
      <c r="BD33" s="103">
        <v>0</v>
      </c>
      <c r="BE33" s="103">
        <v>0</v>
      </c>
      <c r="BF33" s="103">
        <v>0</v>
      </c>
      <c r="BG33" s="103">
        <v>0</v>
      </c>
      <c r="BH33" s="103">
        <v>0</v>
      </c>
      <c r="BI33" s="103">
        <v>0</v>
      </c>
      <c r="BJ33" s="103">
        <v>0</v>
      </c>
      <c r="BK33" s="103">
        <v>0</v>
      </c>
      <c r="BL33" s="103">
        <v>0</v>
      </c>
      <c r="BM33" s="103">
        <v>0</v>
      </c>
      <c r="BN33" s="103">
        <v>0</v>
      </c>
      <c r="BO33" s="103">
        <v>1</v>
      </c>
      <c r="BP33" s="103">
        <v>0</v>
      </c>
      <c r="BQ33" s="103">
        <v>0</v>
      </c>
      <c r="BR33" s="103">
        <v>0</v>
      </c>
      <c r="BS33" s="103">
        <v>1</v>
      </c>
      <c r="BT33" s="103">
        <v>0</v>
      </c>
      <c r="BU33" s="103">
        <v>0</v>
      </c>
      <c r="BV33" s="103">
        <v>0</v>
      </c>
      <c r="BW33" s="103">
        <v>0</v>
      </c>
      <c r="BX33" s="103">
        <v>0</v>
      </c>
      <c r="BY33" s="103">
        <v>0</v>
      </c>
      <c r="BZ33" s="103">
        <v>0</v>
      </c>
      <c r="CA33" s="103">
        <v>0</v>
      </c>
      <c r="CB33" s="103">
        <v>0</v>
      </c>
      <c r="CC33" s="103">
        <v>0</v>
      </c>
      <c r="CD33" s="103">
        <v>1</v>
      </c>
      <c r="CE33" s="103">
        <v>0</v>
      </c>
      <c r="CF33" s="103">
        <v>0</v>
      </c>
      <c r="CG33" s="103">
        <v>0</v>
      </c>
      <c r="CH33" s="103">
        <v>0</v>
      </c>
      <c r="CI33" s="103">
        <v>0</v>
      </c>
      <c r="CJ33" s="103">
        <v>0</v>
      </c>
      <c r="CK33" s="103">
        <v>0</v>
      </c>
      <c r="CL33" s="103">
        <v>0</v>
      </c>
      <c r="CM33" s="103">
        <v>0</v>
      </c>
      <c r="CN33" s="103">
        <v>0</v>
      </c>
      <c r="CO33" s="103">
        <v>0</v>
      </c>
      <c r="CP33" s="103">
        <v>0</v>
      </c>
      <c r="CQ33" s="103">
        <v>0</v>
      </c>
      <c r="CR33" s="103">
        <v>0</v>
      </c>
      <c r="CS33" s="103">
        <v>0</v>
      </c>
      <c r="CT33" s="103">
        <v>0</v>
      </c>
      <c r="CU33" s="103">
        <v>1</v>
      </c>
      <c r="CV33" s="103">
        <v>0</v>
      </c>
      <c r="CW33" s="103">
        <v>0</v>
      </c>
      <c r="CX33" s="103">
        <v>0</v>
      </c>
      <c r="CY33" s="103">
        <v>0</v>
      </c>
      <c r="CZ33" s="103">
        <v>0</v>
      </c>
      <c r="DA33" s="103">
        <v>0</v>
      </c>
      <c r="DB33" s="103">
        <v>0</v>
      </c>
      <c r="DC33" s="103">
        <v>1</v>
      </c>
      <c r="DD33" s="103">
        <v>0</v>
      </c>
      <c r="DE33" s="103">
        <v>0</v>
      </c>
      <c r="DF33" s="103">
        <v>0</v>
      </c>
      <c r="DG33" s="103">
        <v>0</v>
      </c>
      <c r="DH33" s="103">
        <v>0</v>
      </c>
      <c r="DI33" s="185">
        <v>0</v>
      </c>
      <c r="DJ33" s="185">
        <v>0</v>
      </c>
      <c r="DK33" s="185">
        <v>0</v>
      </c>
      <c r="DL33" s="103">
        <v>0</v>
      </c>
      <c r="DM33" s="103">
        <v>0</v>
      </c>
      <c r="DN33" s="103">
        <v>0</v>
      </c>
      <c r="DO33" s="103">
        <v>0</v>
      </c>
      <c r="DP33" s="103">
        <v>0</v>
      </c>
      <c r="DQ33" s="103">
        <v>0</v>
      </c>
      <c r="DR33" s="103">
        <v>0</v>
      </c>
      <c r="DS33" s="103">
        <v>0</v>
      </c>
      <c r="DT33" s="103">
        <v>0</v>
      </c>
      <c r="DU33" s="103">
        <v>0</v>
      </c>
      <c r="DV33" s="103">
        <v>0</v>
      </c>
      <c r="DW33" s="103">
        <v>0</v>
      </c>
      <c r="DX33" s="103">
        <v>0</v>
      </c>
      <c r="DY33" s="103">
        <v>0</v>
      </c>
      <c r="DZ33" s="103">
        <v>0</v>
      </c>
      <c r="EA33" s="103">
        <v>0</v>
      </c>
      <c r="EB33" s="103">
        <v>0</v>
      </c>
      <c r="EC33" s="103">
        <v>0</v>
      </c>
      <c r="ED33" s="103">
        <v>0</v>
      </c>
      <c r="EE33" s="103">
        <v>0</v>
      </c>
      <c r="EF33" s="103">
        <v>0</v>
      </c>
      <c r="EG33" s="103">
        <v>0</v>
      </c>
      <c r="EH33" s="103">
        <v>0</v>
      </c>
      <c r="EI33" s="103">
        <v>0</v>
      </c>
      <c r="EJ33" s="103">
        <v>0</v>
      </c>
      <c r="EK33" s="103">
        <v>0</v>
      </c>
      <c r="EL33" s="103">
        <v>0</v>
      </c>
      <c r="EM33" s="103">
        <v>0</v>
      </c>
      <c r="EN33" s="103">
        <v>0</v>
      </c>
      <c r="EO33" s="103">
        <v>0</v>
      </c>
      <c r="EP33" s="103">
        <v>0</v>
      </c>
      <c r="EQ33" s="103">
        <v>0</v>
      </c>
      <c r="ER33" s="103">
        <v>1</v>
      </c>
      <c r="ES33" s="103">
        <v>0</v>
      </c>
      <c r="ET33" s="103">
        <v>0</v>
      </c>
      <c r="EU33" s="103">
        <v>0</v>
      </c>
      <c r="EV33" s="103">
        <v>0</v>
      </c>
      <c r="EW33" s="103">
        <v>0</v>
      </c>
      <c r="EX33" s="103">
        <v>0</v>
      </c>
      <c r="EY33" s="103">
        <v>0</v>
      </c>
      <c r="EZ33" s="103">
        <v>0</v>
      </c>
      <c r="FA33" s="103">
        <v>0</v>
      </c>
      <c r="FB33" s="103">
        <v>0</v>
      </c>
      <c r="FC33" s="103">
        <v>0</v>
      </c>
      <c r="FD33" s="103">
        <v>0</v>
      </c>
      <c r="FE33" s="103">
        <v>0</v>
      </c>
      <c r="FF33" s="103">
        <v>0</v>
      </c>
      <c r="FG33" s="103">
        <v>0</v>
      </c>
      <c r="FH33" s="103">
        <v>0</v>
      </c>
      <c r="FI33" s="103">
        <v>0</v>
      </c>
      <c r="FJ33" s="103">
        <v>0</v>
      </c>
      <c r="FK33" s="103">
        <v>0</v>
      </c>
      <c r="FL33" s="103">
        <v>0</v>
      </c>
      <c r="FM33" s="103">
        <v>0</v>
      </c>
      <c r="FN33" s="103">
        <v>0</v>
      </c>
      <c r="FO33" s="103">
        <v>0</v>
      </c>
    </row>
    <row r="34" spans="1:171" s="174" customFormat="1" ht="14.45" x14ac:dyDescent="0.3">
      <c r="A34" s="175" t="s">
        <v>29</v>
      </c>
      <c r="B34" s="170" t="str">
        <f t="shared" si="2"/>
        <v>INN3x76C-HP05</v>
      </c>
      <c r="C34" s="176"/>
      <c r="D34" s="176"/>
      <c r="E34" s="176" t="s">
        <v>410</v>
      </c>
      <c r="F34" s="177"/>
      <c r="G34" s="177"/>
      <c r="H34" s="177"/>
      <c r="I34" s="178">
        <v>7</v>
      </c>
      <c r="J34" s="178">
        <v>6</v>
      </c>
      <c r="K34" s="153">
        <v>6</v>
      </c>
      <c r="L34" s="154">
        <v>6</v>
      </c>
      <c r="M34" s="179">
        <v>115</v>
      </c>
      <c r="N34" s="180">
        <v>1250</v>
      </c>
      <c r="O34" s="179">
        <v>9.1</v>
      </c>
      <c r="P34" s="180">
        <v>25</v>
      </c>
      <c r="Q34" s="180">
        <v>0</v>
      </c>
      <c r="R34" s="180">
        <v>0</v>
      </c>
      <c r="S34" s="180">
        <v>0</v>
      </c>
      <c r="T34" s="180">
        <v>0</v>
      </c>
      <c r="U34" s="180">
        <v>0</v>
      </c>
      <c r="V34" s="180">
        <v>0</v>
      </c>
      <c r="W34" s="180">
        <v>0</v>
      </c>
      <c r="X34" s="180">
        <v>0</v>
      </c>
      <c r="Y34" s="180">
        <v>0</v>
      </c>
      <c r="Z34" s="180">
        <v>0</v>
      </c>
      <c r="AA34" s="180">
        <v>0</v>
      </c>
      <c r="AB34" s="180">
        <v>0</v>
      </c>
      <c r="AC34" s="180">
        <v>1</v>
      </c>
      <c r="AD34" s="181" t="s">
        <v>32</v>
      </c>
      <c r="AE34" s="180">
        <v>1</v>
      </c>
      <c r="AF34" s="182">
        <v>0</v>
      </c>
      <c r="AG34" s="183">
        <v>750</v>
      </c>
      <c r="AH34" s="184">
        <v>705</v>
      </c>
      <c r="AI34" s="180">
        <v>9</v>
      </c>
      <c r="AJ34" s="180">
        <v>0</v>
      </c>
      <c r="AK34" s="180">
        <v>20</v>
      </c>
      <c r="AL34" s="180">
        <v>5</v>
      </c>
      <c r="AM34" s="180">
        <v>0</v>
      </c>
      <c r="AN34" s="180">
        <v>0</v>
      </c>
      <c r="AO34" s="106">
        <v>132</v>
      </c>
      <c r="AP34" s="114">
        <v>3.2000000000000001E-2</v>
      </c>
      <c r="AQ34" s="79">
        <v>5</v>
      </c>
      <c r="AR34" s="103">
        <v>0</v>
      </c>
      <c r="AS34" s="103">
        <v>0</v>
      </c>
      <c r="AT34" s="103">
        <v>0</v>
      </c>
      <c r="AU34" s="103">
        <v>0</v>
      </c>
      <c r="AV34" s="103">
        <v>0</v>
      </c>
      <c r="AW34" s="103">
        <v>0</v>
      </c>
      <c r="AX34" s="103">
        <v>0</v>
      </c>
      <c r="AY34" s="103">
        <v>0</v>
      </c>
      <c r="AZ34" s="103">
        <v>0</v>
      </c>
      <c r="BA34" s="103">
        <v>0</v>
      </c>
      <c r="BB34" s="103">
        <v>0</v>
      </c>
      <c r="BC34" s="103">
        <v>0</v>
      </c>
      <c r="BD34" s="103">
        <v>0</v>
      </c>
      <c r="BE34" s="103">
        <v>0</v>
      </c>
      <c r="BF34" s="103">
        <v>0</v>
      </c>
      <c r="BG34" s="103">
        <v>0</v>
      </c>
      <c r="BH34" s="103">
        <v>0</v>
      </c>
      <c r="BI34" s="103">
        <v>0</v>
      </c>
      <c r="BJ34" s="103">
        <v>0</v>
      </c>
      <c r="BK34" s="103">
        <v>0</v>
      </c>
      <c r="BL34" s="103">
        <v>0</v>
      </c>
      <c r="BM34" s="103">
        <v>0</v>
      </c>
      <c r="BN34" s="103">
        <v>0</v>
      </c>
      <c r="BO34" s="103">
        <v>1</v>
      </c>
      <c r="BP34" s="103">
        <v>0</v>
      </c>
      <c r="BQ34" s="103">
        <v>0</v>
      </c>
      <c r="BR34" s="103">
        <v>0</v>
      </c>
      <c r="BS34" s="103">
        <v>1</v>
      </c>
      <c r="BT34" s="103">
        <v>0</v>
      </c>
      <c r="BU34" s="103">
        <v>0</v>
      </c>
      <c r="BV34" s="103">
        <v>0</v>
      </c>
      <c r="BW34" s="103">
        <v>0</v>
      </c>
      <c r="BX34" s="103">
        <v>0</v>
      </c>
      <c r="BY34" s="103">
        <v>0</v>
      </c>
      <c r="BZ34" s="103">
        <v>0</v>
      </c>
      <c r="CA34" s="103">
        <v>0</v>
      </c>
      <c r="CB34" s="103">
        <v>0</v>
      </c>
      <c r="CC34" s="103">
        <v>0</v>
      </c>
      <c r="CD34" s="103">
        <v>1</v>
      </c>
      <c r="CE34" s="103">
        <v>0</v>
      </c>
      <c r="CF34" s="103">
        <v>0</v>
      </c>
      <c r="CG34" s="103">
        <v>0</v>
      </c>
      <c r="CH34" s="103">
        <v>0</v>
      </c>
      <c r="CI34" s="103">
        <v>0</v>
      </c>
      <c r="CJ34" s="103">
        <v>0</v>
      </c>
      <c r="CK34" s="103">
        <v>0</v>
      </c>
      <c r="CL34" s="103">
        <v>0</v>
      </c>
      <c r="CM34" s="103">
        <v>0</v>
      </c>
      <c r="CN34" s="103">
        <v>0</v>
      </c>
      <c r="CO34" s="103">
        <v>0</v>
      </c>
      <c r="CP34" s="103">
        <v>0</v>
      </c>
      <c r="CQ34" s="103">
        <v>0</v>
      </c>
      <c r="CR34" s="103">
        <v>0</v>
      </c>
      <c r="CS34" s="103">
        <v>0</v>
      </c>
      <c r="CT34" s="103">
        <v>0</v>
      </c>
      <c r="CU34" s="103">
        <v>1</v>
      </c>
      <c r="CV34" s="103">
        <v>0</v>
      </c>
      <c r="CW34" s="103">
        <v>0</v>
      </c>
      <c r="CX34" s="103">
        <v>0</v>
      </c>
      <c r="CY34" s="103">
        <v>0</v>
      </c>
      <c r="CZ34" s="103">
        <v>0</v>
      </c>
      <c r="DA34" s="103">
        <v>0</v>
      </c>
      <c r="DB34" s="103">
        <v>0</v>
      </c>
      <c r="DC34" s="103">
        <v>1</v>
      </c>
      <c r="DD34" s="103">
        <v>0</v>
      </c>
      <c r="DE34" s="103">
        <v>0</v>
      </c>
      <c r="DF34" s="103">
        <v>0</v>
      </c>
      <c r="DG34" s="103">
        <v>0</v>
      </c>
      <c r="DH34" s="103">
        <v>0</v>
      </c>
      <c r="DI34" s="185">
        <v>0</v>
      </c>
      <c r="DJ34" s="185">
        <v>0</v>
      </c>
      <c r="DK34" s="185">
        <v>0</v>
      </c>
      <c r="DL34" s="103">
        <v>0</v>
      </c>
      <c r="DM34" s="103">
        <v>0</v>
      </c>
      <c r="DN34" s="103">
        <v>0</v>
      </c>
      <c r="DO34" s="103">
        <v>0</v>
      </c>
      <c r="DP34" s="103">
        <v>0</v>
      </c>
      <c r="DQ34" s="103">
        <v>0</v>
      </c>
      <c r="DR34" s="103">
        <v>0</v>
      </c>
      <c r="DS34" s="103">
        <v>0</v>
      </c>
      <c r="DT34" s="103">
        <v>0</v>
      </c>
      <c r="DU34" s="103">
        <v>0</v>
      </c>
      <c r="DV34" s="103">
        <v>0</v>
      </c>
      <c r="DW34" s="103">
        <v>0</v>
      </c>
      <c r="DX34" s="103">
        <v>0</v>
      </c>
      <c r="DY34" s="103">
        <v>0</v>
      </c>
      <c r="DZ34" s="103">
        <v>0</v>
      </c>
      <c r="EA34" s="103">
        <v>0</v>
      </c>
      <c r="EB34" s="103">
        <v>0</v>
      </c>
      <c r="EC34" s="103">
        <v>0</v>
      </c>
      <c r="ED34" s="103">
        <v>0</v>
      </c>
      <c r="EE34" s="103">
        <v>0</v>
      </c>
      <c r="EF34" s="103">
        <v>0</v>
      </c>
      <c r="EG34" s="103">
        <v>0</v>
      </c>
      <c r="EH34" s="103">
        <v>0</v>
      </c>
      <c r="EI34" s="103">
        <v>0</v>
      </c>
      <c r="EJ34" s="103">
        <v>0</v>
      </c>
      <c r="EK34" s="103">
        <v>0</v>
      </c>
      <c r="EL34" s="103">
        <v>0</v>
      </c>
      <c r="EM34" s="103">
        <v>0</v>
      </c>
      <c r="EN34" s="103">
        <v>0</v>
      </c>
      <c r="EO34" s="103">
        <v>0</v>
      </c>
      <c r="EP34" s="103">
        <v>0</v>
      </c>
      <c r="EQ34" s="103">
        <v>0</v>
      </c>
      <c r="ER34" s="103">
        <v>1</v>
      </c>
      <c r="ES34" s="103">
        <v>0</v>
      </c>
      <c r="ET34" s="103">
        <v>0</v>
      </c>
      <c r="EU34" s="103">
        <v>0</v>
      </c>
      <c r="EV34" s="103">
        <v>0</v>
      </c>
      <c r="EW34" s="103">
        <v>0</v>
      </c>
      <c r="EX34" s="103">
        <v>0</v>
      </c>
      <c r="EY34" s="103">
        <v>0</v>
      </c>
      <c r="EZ34" s="103">
        <v>0</v>
      </c>
      <c r="FA34" s="103">
        <v>0</v>
      </c>
      <c r="FB34" s="103">
        <v>0</v>
      </c>
      <c r="FC34" s="103">
        <v>0</v>
      </c>
      <c r="FD34" s="103">
        <v>0</v>
      </c>
      <c r="FE34" s="103">
        <v>0</v>
      </c>
      <c r="FF34" s="103">
        <v>0</v>
      </c>
      <c r="FG34" s="103">
        <v>0</v>
      </c>
      <c r="FH34" s="103">
        <v>0</v>
      </c>
      <c r="FI34" s="103">
        <v>0</v>
      </c>
      <c r="FJ34" s="103">
        <v>0</v>
      </c>
      <c r="FK34" s="103">
        <v>0</v>
      </c>
      <c r="FL34" s="103">
        <v>0</v>
      </c>
      <c r="FM34" s="103">
        <v>0</v>
      </c>
      <c r="FN34" s="103">
        <v>0</v>
      </c>
      <c r="FO34" s="103">
        <v>0</v>
      </c>
    </row>
    <row r="35" spans="1:171" s="174" customFormat="1" ht="14.45" x14ac:dyDescent="0.3">
      <c r="A35" s="175" t="s">
        <v>29</v>
      </c>
      <c r="B35" s="170" t="str">
        <f t="shared" si="2"/>
        <v>INN3x77C-HP06</v>
      </c>
      <c r="C35" s="176"/>
      <c r="D35" s="176"/>
      <c r="E35" s="176" t="s">
        <v>411</v>
      </c>
      <c r="F35" s="177"/>
      <c r="G35" s="177"/>
      <c r="H35" s="177"/>
      <c r="I35" s="178">
        <v>7</v>
      </c>
      <c r="J35" s="178">
        <v>7</v>
      </c>
      <c r="K35" s="153">
        <v>7</v>
      </c>
      <c r="L35" s="154">
        <v>7</v>
      </c>
      <c r="M35" s="179">
        <v>115</v>
      </c>
      <c r="N35" s="180">
        <v>1350</v>
      </c>
      <c r="O35" s="179">
        <v>9.1</v>
      </c>
      <c r="P35" s="180">
        <v>25</v>
      </c>
      <c r="Q35" s="180">
        <v>0</v>
      </c>
      <c r="R35" s="180">
        <v>0</v>
      </c>
      <c r="S35" s="180">
        <v>0</v>
      </c>
      <c r="T35" s="180">
        <v>0</v>
      </c>
      <c r="U35" s="180">
        <v>0</v>
      </c>
      <c r="V35" s="180">
        <v>0</v>
      </c>
      <c r="W35" s="180">
        <v>0</v>
      </c>
      <c r="X35" s="180">
        <v>0</v>
      </c>
      <c r="Y35" s="180">
        <v>0</v>
      </c>
      <c r="Z35" s="180">
        <v>0</v>
      </c>
      <c r="AA35" s="180">
        <v>0</v>
      </c>
      <c r="AB35" s="180">
        <v>0</v>
      </c>
      <c r="AC35" s="180">
        <v>1</v>
      </c>
      <c r="AD35" s="181" t="s">
        <v>32</v>
      </c>
      <c r="AE35" s="180">
        <v>1</v>
      </c>
      <c r="AF35" s="182">
        <v>0</v>
      </c>
      <c r="AG35" s="183">
        <v>750</v>
      </c>
      <c r="AH35" s="184">
        <v>705</v>
      </c>
      <c r="AI35" s="180">
        <v>13</v>
      </c>
      <c r="AJ35" s="180">
        <v>0</v>
      </c>
      <c r="AK35" s="180">
        <v>22</v>
      </c>
      <c r="AL35" s="180">
        <v>10</v>
      </c>
      <c r="AM35" s="180">
        <v>0</v>
      </c>
      <c r="AN35" s="180">
        <v>0</v>
      </c>
      <c r="AO35" s="106">
        <v>132</v>
      </c>
      <c r="AP35" s="114">
        <v>3.2000000000000001E-2</v>
      </c>
      <c r="AQ35" s="79">
        <v>5</v>
      </c>
      <c r="AR35" s="103">
        <v>0</v>
      </c>
      <c r="AS35" s="103">
        <v>0</v>
      </c>
      <c r="AT35" s="103">
        <v>0</v>
      </c>
      <c r="AU35" s="103">
        <v>0</v>
      </c>
      <c r="AV35" s="103">
        <v>0</v>
      </c>
      <c r="AW35" s="103">
        <v>0</v>
      </c>
      <c r="AX35" s="103">
        <v>0</v>
      </c>
      <c r="AY35" s="103">
        <v>0</v>
      </c>
      <c r="AZ35" s="103">
        <v>0</v>
      </c>
      <c r="BA35" s="103">
        <v>0</v>
      </c>
      <c r="BB35" s="103">
        <v>0</v>
      </c>
      <c r="BC35" s="103">
        <v>0</v>
      </c>
      <c r="BD35" s="103">
        <v>0</v>
      </c>
      <c r="BE35" s="103">
        <v>0</v>
      </c>
      <c r="BF35" s="103">
        <v>0</v>
      </c>
      <c r="BG35" s="103">
        <v>0</v>
      </c>
      <c r="BH35" s="103">
        <v>0</v>
      </c>
      <c r="BI35" s="103">
        <v>0</v>
      </c>
      <c r="BJ35" s="103">
        <v>0</v>
      </c>
      <c r="BK35" s="103">
        <v>0</v>
      </c>
      <c r="BL35" s="103">
        <v>0</v>
      </c>
      <c r="BM35" s="103">
        <v>0</v>
      </c>
      <c r="BN35" s="103">
        <v>0</v>
      </c>
      <c r="BO35" s="103">
        <v>1</v>
      </c>
      <c r="BP35" s="103">
        <v>0</v>
      </c>
      <c r="BQ35" s="103">
        <v>0</v>
      </c>
      <c r="BR35" s="103">
        <v>0</v>
      </c>
      <c r="BS35" s="103">
        <v>1</v>
      </c>
      <c r="BT35" s="103">
        <v>0</v>
      </c>
      <c r="BU35" s="103">
        <v>0</v>
      </c>
      <c r="BV35" s="103">
        <v>0</v>
      </c>
      <c r="BW35" s="103">
        <v>0</v>
      </c>
      <c r="BX35" s="103">
        <v>0</v>
      </c>
      <c r="BY35" s="103">
        <v>0</v>
      </c>
      <c r="BZ35" s="103">
        <v>0</v>
      </c>
      <c r="CA35" s="103">
        <v>0</v>
      </c>
      <c r="CB35" s="103">
        <v>0</v>
      </c>
      <c r="CC35" s="103">
        <v>0</v>
      </c>
      <c r="CD35" s="103">
        <v>1</v>
      </c>
      <c r="CE35" s="103">
        <v>0</v>
      </c>
      <c r="CF35" s="103">
        <v>0</v>
      </c>
      <c r="CG35" s="103">
        <v>0</v>
      </c>
      <c r="CH35" s="103">
        <v>0</v>
      </c>
      <c r="CI35" s="103">
        <v>0</v>
      </c>
      <c r="CJ35" s="103">
        <v>0</v>
      </c>
      <c r="CK35" s="103">
        <v>0</v>
      </c>
      <c r="CL35" s="103">
        <v>0</v>
      </c>
      <c r="CM35" s="103">
        <v>0</v>
      </c>
      <c r="CN35" s="103">
        <v>0</v>
      </c>
      <c r="CO35" s="103">
        <v>0</v>
      </c>
      <c r="CP35" s="103">
        <v>0</v>
      </c>
      <c r="CQ35" s="103">
        <v>0</v>
      </c>
      <c r="CR35" s="103">
        <v>0</v>
      </c>
      <c r="CS35" s="103">
        <v>0</v>
      </c>
      <c r="CT35" s="103">
        <v>0</v>
      </c>
      <c r="CU35" s="103">
        <v>1</v>
      </c>
      <c r="CV35" s="103">
        <v>0</v>
      </c>
      <c r="CW35" s="103">
        <v>0</v>
      </c>
      <c r="CX35" s="103">
        <v>0</v>
      </c>
      <c r="CY35" s="103">
        <v>0</v>
      </c>
      <c r="CZ35" s="103">
        <v>0</v>
      </c>
      <c r="DA35" s="103">
        <v>0</v>
      </c>
      <c r="DB35" s="103">
        <v>0</v>
      </c>
      <c r="DC35" s="103">
        <v>1</v>
      </c>
      <c r="DD35" s="103">
        <v>0</v>
      </c>
      <c r="DE35" s="103">
        <v>0</v>
      </c>
      <c r="DF35" s="103">
        <v>0</v>
      </c>
      <c r="DG35" s="103">
        <v>0</v>
      </c>
      <c r="DH35" s="103">
        <v>0</v>
      </c>
      <c r="DI35" s="185">
        <v>0</v>
      </c>
      <c r="DJ35" s="185">
        <v>0</v>
      </c>
      <c r="DK35" s="185">
        <v>0</v>
      </c>
      <c r="DL35" s="103">
        <v>0</v>
      </c>
      <c r="DM35" s="103">
        <v>0</v>
      </c>
      <c r="DN35" s="103">
        <v>0</v>
      </c>
      <c r="DO35" s="103">
        <v>0</v>
      </c>
      <c r="DP35" s="103">
        <v>0</v>
      </c>
      <c r="DQ35" s="103">
        <v>0</v>
      </c>
      <c r="DR35" s="103">
        <v>0</v>
      </c>
      <c r="DS35" s="103">
        <v>0</v>
      </c>
      <c r="DT35" s="103">
        <v>0</v>
      </c>
      <c r="DU35" s="103">
        <v>0</v>
      </c>
      <c r="DV35" s="103">
        <v>0</v>
      </c>
      <c r="DW35" s="103">
        <v>0</v>
      </c>
      <c r="DX35" s="103">
        <v>0</v>
      </c>
      <c r="DY35" s="103">
        <v>0</v>
      </c>
      <c r="DZ35" s="103">
        <v>0</v>
      </c>
      <c r="EA35" s="103">
        <v>0</v>
      </c>
      <c r="EB35" s="103">
        <v>0</v>
      </c>
      <c r="EC35" s="103">
        <v>0</v>
      </c>
      <c r="ED35" s="103">
        <v>0</v>
      </c>
      <c r="EE35" s="103">
        <v>0</v>
      </c>
      <c r="EF35" s="103">
        <v>0</v>
      </c>
      <c r="EG35" s="103">
        <v>0</v>
      </c>
      <c r="EH35" s="103">
        <v>0</v>
      </c>
      <c r="EI35" s="103">
        <v>0</v>
      </c>
      <c r="EJ35" s="103">
        <v>0</v>
      </c>
      <c r="EK35" s="103">
        <v>0</v>
      </c>
      <c r="EL35" s="103">
        <v>0</v>
      </c>
      <c r="EM35" s="103">
        <v>0</v>
      </c>
      <c r="EN35" s="103">
        <v>0</v>
      </c>
      <c r="EO35" s="103">
        <v>0</v>
      </c>
      <c r="EP35" s="103">
        <v>0</v>
      </c>
      <c r="EQ35" s="103">
        <v>0</v>
      </c>
      <c r="ER35" s="103">
        <v>1</v>
      </c>
      <c r="ES35" s="103">
        <v>0</v>
      </c>
      <c r="ET35" s="103">
        <v>0</v>
      </c>
      <c r="EU35" s="103">
        <v>0</v>
      </c>
      <c r="EV35" s="103">
        <v>0</v>
      </c>
      <c r="EW35" s="103">
        <v>0</v>
      </c>
      <c r="EX35" s="103">
        <v>0</v>
      </c>
      <c r="EY35" s="103">
        <v>0</v>
      </c>
      <c r="EZ35" s="103">
        <v>0</v>
      </c>
      <c r="FA35" s="103">
        <v>0</v>
      </c>
      <c r="FB35" s="103">
        <v>0</v>
      </c>
      <c r="FC35" s="103">
        <v>0</v>
      </c>
      <c r="FD35" s="103">
        <v>0</v>
      </c>
      <c r="FE35" s="103">
        <v>0</v>
      </c>
      <c r="FF35" s="103">
        <v>0</v>
      </c>
      <c r="FG35" s="103">
        <v>0</v>
      </c>
      <c r="FH35" s="103">
        <v>0</v>
      </c>
      <c r="FI35" s="103">
        <v>0</v>
      </c>
      <c r="FJ35" s="103">
        <v>0</v>
      </c>
      <c r="FK35" s="103">
        <v>0</v>
      </c>
      <c r="FL35" s="103">
        <v>0</v>
      </c>
      <c r="FM35" s="103">
        <v>0</v>
      </c>
      <c r="FN35" s="103">
        <v>0</v>
      </c>
      <c r="FO35" s="103">
        <v>0</v>
      </c>
    </row>
    <row r="36" spans="1:171" s="174" customFormat="1" ht="14.45" x14ac:dyDescent="0.3">
      <c r="A36" s="175" t="s">
        <v>29</v>
      </c>
      <c r="B36" s="170" t="str">
        <f t="shared" si="2"/>
        <v>INN3368C-HP29</v>
      </c>
      <c r="C36" s="176"/>
      <c r="D36" s="176"/>
      <c r="E36" s="176" t="s">
        <v>446</v>
      </c>
      <c r="F36" s="177"/>
      <c r="G36" s="177"/>
      <c r="H36" s="177" t="s">
        <v>34</v>
      </c>
      <c r="I36" s="178">
        <v>6</v>
      </c>
      <c r="J36" s="178">
        <v>8</v>
      </c>
      <c r="K36" s="153">
        <v>8</v>
      </c>
      <c r="L36" s="154">
        <v>8</v>
      </c>
      <c r="M36" s="179">
        <v>115</v>
      </c>
      <c r="N36" s="180">
        <v>1850</v>
      </c>
      <c r="O36" s="179">
        <v>9.1</v>
      </c>
      <c r="P36" s="180">
        <v>25</v>
      </c>
      <c r="Q36" s="180">
        <v>0</v>
      </c>
      <c r="R36" s="180">
        <v>0</v>
      </c>
      <c r="S36" s="180">
        <v>0</v>
      </c>
      <c r="T36" s="180">
        <v>0</v>
      </c>
      <c r="U36" s="180">
        <v>0</v>
      </c>
      <c r="V36" s="180">
        <v>0</v>
      </c>
      <c r="W36" s="180">
        <v>0</v>
      </c>
      <c r="X36" s="180">
        <v>0</v>
      </c>
      <c r="Y36" s="180">
        <v>1</v>
      </c>
      <c r="Z36" s="180">
        <v>1</v>
      </c>
      <c r="AA36" s="180">
        <v>0</v>
      </c>
      <c r="AB36" s="180">
        <v>0</v>
      </c>
      <c r="AC36" s="180">
        <v>1</v>
      </c>
      <c r="AD36" s="181" t="s">
        <v>32</v>
      </c>
      <c r="AE36" s="180">
        <v>1</v>
      </c>
      <c r="AF36" s="182">
        <v>0</v>
      </c>
      <c r="AG36" s="183">
        <v>675</v>
      </c>
      <c r="AH36" s="184">
        <v>630</v>
      </c>
      <c r="AI36" s="180">
        <v>13</v>
      </c>
      <c r="AJ36" s="180">
        <v>0</v>
      </c>
      <c r="AK36" s="180">
        <v>17</v>
      </c>
      <c r="AL36" s="180">
        <v>11</v>
      </c>
      <c r="AM36" s="180">
        <v>0</v>
      </c>
      <c r="AN36" s="180">
        <v>0</v>
      </c>
      <c r="AO36" s="162">
        <v>132</v>
      </c>
      <c r="AP36" s="163">
        <v>3.2000000000000001E-2</v>
      </c>
      <c r="AQ36" s="164">
        <v>5</v>
      </c>
      <c r="AR36" s="185">
        <v>0</v>
      </c>
      <c r="AS36" s="185">
        <v>0</v>
      </c>
      <c r="AT36" s="185">
        <v>0</v>
      </c>
      <c r="AU36" s="185">
        <v>0</v>
      </c>
      <c r="AV36" s="185">
        <v>0</v>
      </c>
      <c r="AW36" s="185">
        <v>0</v>
      </c>
      <c r="AX36" s="185">
        <v>0</v>
      </c>
      <c r="AY36" s="185">
        <v>0</v>
      </c>
      <c r="AZ36" s="185">
        <v>0</v>
      </c>
      <c r="BA36" s="185">
        <v>0</v>
      </c>
      <c r="BB36" s="185">
        <v>0</v>
      </c>
      <c r="BC36" s="185">
        <v>0</v>
      </c>
      <c r="BD36" s="185">
        <v>0</v>
      </c>
      <c r="BE36" s="185">
        <v>0</v>
      </c>
      <c r="BF36" s="185">
        <v>0</v>
      </c>
      <c r="BG36" s="185">
        <v>0</v>
      </c>
      <c r="BH36" s="185">
        <v>0</v>
      </c>
      <c r="BI36" s="185">
        <v>0</v>
      </c>
      <c r="BJ36" s="185">
        <v>0</v>
      </c>
      <c r="BK36" s="185">
        <v>0</v>
      </c>
      <c r="BL36" s="185">
        <v>0</v>
      </c>
      <c r="BM36" s="185">
        <v>0</v>
      </c>
      <c r="BN36" s="185">
        <v>0</v>
      </c>
      <c r="BO36" s="185">
        <v>1</v>
      </c>
      <c r="BP36" s="185">
        <v>0</v>
      </c>
      <c r="BQ36" s="185">
        <v>0</v>
      </c>
      <c r="BR36" s="185">
        <v>0</v>
      </c>
      <c r="BS36" s="185">
        <v>1</v>
      </c>
      <c r="BT36" s="185">
        <v>0</v>
      </c>
      <c r="BU36" s="185">
        <v>0</v>
      </c>
      <c r="BV36" s="185">
        <v>0</v>
      </c>
      <c r="BW36" s="185">
        <v>0</v>
      </c>
      <c r="BX36" s="185">
        <v>0</v>
      </c>
      <c r="BY36" s="185">
        <v>0</v>
      </c>
      <c r="BZ36" s="185">
        <v>0</v>
      </c>
      <c r="CA36" s="185">
        <v>0</v>
      </c>
      <c r="CB36" s="185">
        <v>0</v>
      </c>
      <c r="CC36" s="185">
        <v>0</v>
      </c>
      <c r="CD36" s="185">
        <v>1</v>
      </c>
      <c r="CE36" s="185">
        <v>0</v>
      </c>
      <c r="CF36" s="185">
        <v>0</v>
      </c>
      <c r="CG36" s="185">
        <v>0</v>
      </c>
      <c r="CH36" s="185">
        <v>0</v>
      </c>
      <c r="CI36" s="185">
        <v>0</v>
      </c>
      <c r="CJ36" s="185">
        <v>0</v>
      </c>
      <c r="CK36" s="185">
        <v>0</v>
      </c>
      <c r="CL36" s="185">
        <v>0</v>
      </c>
      <c r="CM36" s="185">
        <v>0</v>
      </c>
      <c r="CN36" s="185">
        <v>0</v>
      </c>
      <c r="CO36" s="185">
        <v>0</v>
      </c>
      <c r="CP36" s="185">
        <v>0</v>
      </c>
      <c r="CQ36" s="185">
        <v>0</v>
      </c>
      <c r="CR36" s="185">
        <v>0</v>
      </c>
      <c r="CS36" s="185">
        <v>0</v>
      </c>
      <c r="CT36" s="185">
        <v>0</v>
      </c>
      <c r="CU36" s="185">
        <v>1</v>
      </c>
      <c r="CV36" s="185">
        <v>0</v>
      </c>
      <c r="CW36" s="185">
        <v>0</v>
      </c>
      <c r="CX36" s="185">
        <v>0</v>
      </c>
      <c r="CY36" s="185">
        <v>0</v>
      </c>
      <c r="CZ36" s="185">
        <v>0</v>
      </c>
      <c r="DA36" s="185">
        <v>0</v>
      </c>
      <c r="DB36" s="185">
        <v>0</v>
      </c>
      <c r="DC36" s="185">
        <v>1</v>
      </c>
      <c r="DD36" s="185">
        <v>0</v>
      </c>
      <c r="DE36" s="185">
        <v>0</v>
      </c>
      <c r="DF36" s="185">
        <v>0</v>
      </c>
      <c r="DG36" s="185">
        <v>0</v>
      </c>
      <c r="DH36" s="185">
        <v>0</v>
      </c>
      <c r="DI36" s="185">
        <v>0</v>
      </c>
      <c r="DJ36" s="185">
        <v>0</v>
      </c>
      <c r="DK36" s="185">
        <v>0</v>
      </c>
      <c r="DL36" s="185">
        <v>0</v>
      </c>
      <c r="DM36" s="185">
        <v>0</v>
      </c>
      <c r="DN36" s="185">
        <v>0</v>
      </c>
      <c r="DO36" s="185">
        <v>0</v>
      </c>
      <c r="DP36" s="185">
        <v>1</v>
      </c>
      <c r="DQ36" s="185">
        <v>0</v>
      </c>
      <c r="DR36" s="185">
        <v>0</v>
      </c>
      <c r="DS36" s="185">
        <v>0</v>
      </c>
      <c r="DT36" s="185">
        <v>0</v>
      </c>
      <c r="DU36" s="185">
        <v>0</v>
      </c>
      <c r="DV36" s="185">
        <v>0</v>
      </c>
      <c r="DW36" s="185">
        <v>0</v>
      </c>
      <c r="DX36" s="185">
        <v>0</v>
      </c>
      <c r="DY36" s="185">
        <v>0</v>
      </c>
      <c r="DZ36" s="185">
        <v>0</v>
      </c>
      <c r="EA36" s="185">
        <v>0</v>
      </c>
      <c r="EB36" s="185">
        <v>0</v>
      </c>
      <c r="EC36" s="185">
        <v>0</v>
      </c>
      <c r="ED36" s="185">
        <v>0</v>
      </c>
      <c r="EE36" s="185">
        <v>0</v>
      </c>
      <c r="EF36" s="185">
        <v>0</v>
      </c>
      <c r="EG36" s="185">
        <v>0</v>
      </c>
      <c r="EH36" s="185">
        <v>0</v>
      </c>
      <c r="EI36" s="185">
        <v>0</v>
      </c>
      <c r="EJ36" s="185">
        <v>0</v>
      </c>
      <c r="EK36" s="185">
        <v>0</v>
      </c>
      <c r="EL36" s="185">
        <v>0</v>
      </c>
      <c r="EM36" s="185">
        <v>0</v>
      </c>
      <c r="EN36" s="185">
        <v>0</v>
      </c>
      <c r="EO36" s="185">
        <v>0</v>
      </c>
      <c r="EP36" s="185">
        <v>0</v>
      </c>
      <c r="EQ36" s="185">
        <v>0</v>
      </c>
      <c r="ER36" s="185">
        <v>1</v>
      </c>
      <c r="ES36" s="185">
        <v>0</v>
      </c>
      <c r="ET36" s="185">
        <v>0</v>
      </c>
      <c r="EU36" s="185">
        <v>0</v>
      </c>
      <c r="EV36" s="185">
        <v>0</v>
      </c>
      <c r="EW36" s="185">
        <v>0</v>
      </c>
      <c r="EX36" s="185">
        <v>0</v>
      </c>
      <c r="EY36" s="185">
        <v>0</v>
      </c>
      <c r="EZ36" s="185">
        <v>0</v>
      </c>
      <c r="FA36" s="185">
        <v>0</v>
      </c>
      <c r="FB36" s="185">
        <v>0</v>
      </c>
      <c r="FC36" s="185">
        <v>0</v>
      </c>
      <c r="FD36" s="185">
        <v>0</v>
      </c>
      <c r="FE36" s="185">
        <v>0</v>
      </c>
      <c r="FF36" s="185">
        <v>0</v>
      </c>
      <c r="FG36" s="185">
        <v>0</v>
      </c>
      <c r="FH36" s="185">
        <v>0</v>
      </c>
      <c r="FI36" s="185">
        <v>0</v>
      </c>
      <c r="FJ36" s="185">
        <v>0</v>
      </c>
      <c r="FK36" s="185">
        <v>0</v>
      </c>
      <c r="FL36" s="185">
        <v>0</v>
      </c>
      <c r="FM36" s="185">
        <v>0</v>
      </c>
      <c r="FN36" s="185">
        <v>0</v>
      </c>
      <c r="FO36" s="185">
        <v>0</v>
      </c>
    </row>
    <row r="37" spans="1:171" s="174" customFormat="1" x14ac:dyDescent="0.25">
      <c r="A37" s="175" t="s">
        <v>29</v>
      </c>
      <c r="B37" s="170" t="str">
        <f t="shared" si="2"/>
        <v>INN3377C-HP30</v>
      </c>
      <c r="C37" s="176"/>
      <c r="D37" s="176"/>
      <c r="E37" s="176" t="s">
        <v>450</v>
      </c>
      <c r="F37" s="177"/>
      <c r="G37" s="177"/>
      <c r="H37" s="177" t="s">
        <v>34</v>
      </c>
      <c r="I37" s="178">
        <v>7</v>
      </c>
      <c r="J37" s="178">
        <v>7</v>
      </c>
      <c r="K37" s="153">
        <v>7</v>
      </c>
      <c r="L37" s="154">
        <v>7</v>
      </c>
      <c r="M37" s="179">
        <v>115</v>
      </c>
      <c r="N37" s="180">
        <v>1350</v>
      </c>
      <c r="O37" s="179">
        <v>9.1</v>
      </c>
      <c r="P37" s="180">
        <v>25</v>
      </c>
      <c r="Q37" s="180">
        <v>0</v>
      </c>
      <c r="R37" s="180">
        <v>0</v>
      </c>
      <c r="S37" s="180">
        <v>0</v>
      </c>
      <c r="T37" s="180">
        <v>0</v>
      </c>
      <c r="U37" s="180">
        <v>0</v>
      </c>
      <c r="V37" s="180">
        <v>0</v>
      </c>
      <c r="W37" s="180">
        <v>0</v>
      </c>
      <c r="X37" s="180">
        <v>0</v>
      </c>
      <c r="Y37" s="180">
        <v>1</v>
      </c>
      <c r="Z37" s="180">
        <v>1</v>
      </c>
      <c r="AA37" s="180">
        <v>0</v>
      </c>
      <c r="AB37" s="180">
        <v>0</v>
      </c>
      <c r="AC37" s="180">
        <v>1</v>
      </c>
      <c r="AD37" s="181" t="s">
        <v>32</v>
      </c>
      <c r="AE37" s="180">
        <v>1</v>
      </c>
      <c r="AF37" s="182">
        <v>0</v>
      </c>
      <c r="AG37" s="183">
        <v>750</v>
      </c>
      <c r="AH37" s="184">
        <v>705</v>
      </c>
      <c r="AI37" s="180">
        <v>13</v>
      </c>
      <c r="AJ37" s="180">
        <v>0</v>
      </c>
      <c r="AK37" s="180">
        <v>22</v>
      </c>
      <c r="AL37" s="180">
        <v>10</v>
      </c>
      <c r="AM37" s="180">
        <v>0</v>
      </c>
      <c r="AN37" s="180">
        <v>0</v>
      </c>
      <c r="AO37" s="162">
        <v>132</v>
      </c>
      <c r="AP37" s="163">
        <v>3.2000000000000001E-2</v>
      </c>
      <c r="AQ37" s="164">
        <v>5</v>
      </c>
      <c r="AR37" s="185">
        <v>0</v>
      </c>
      <c r="AS37" s="185">
        <v>0</v>
      </c>
      <c r="AT37" s="185">
        <v>0</v>
      </c>
      <c r="AU37" s="185">
        <v>0</v>
      </c>
      <c r="AV37" s="185">
        <v>0</v>
      </c>
      <c r="AW37" s="185">
        <v>0</v>
      </c>
      <c r="AX37" s="185">
        <v>0</v>
      </c>
      <c r="AY37" s="185">
        <v>0</v>
      </c>
      <c r="AZ37" s="185">
        <v>0</v>
      </c>
      <c r="BA37" s="185">
        <v>0</v>
      </c>
      <c r="BB37" s="185">
        <v>0</v>
      </c>
      <c r="BC37" s="185">
        <v>0</v>
      </c>
      <c r="BD37" s="185">
        <v>0</v>
      </c>
      <c r="BE37" s="185">
        <v>0</v>
      </c>
      <c r="BF37" s="185">
        <v>0</v>
      </c>
      <c r="BG37" s="185">
        <v>0</v>
      </c>
      <c r="BH37" s="185">
        <v>0</v>
      </c>
      <c r="BI37" s="185">
        <v>0</v>
      </c>
      <c r="BJ37" s="185">
        <v>0</v>
      </c>
      <c r="BK37" s="185">
        <v>0</v>
      </c>
      <c r="BL37" s="185">
        <v>0</v>
      </c>
      <c r="BM37" s="185">
        <v>0</v>
      </c>
      <c r="BN37" s="185">
        <v>0</v>
      </c>
      <c r="BO37" s="185">
        <v>1</v>
      </c>
      <c r="BP37" s="185">
        <v>0</v>
      </c>
      <c r="BQ37" s="185">
        <v>0</v>
      </c>
      <c r="BR37" s="185">
        <v>0</v>
      </c>
      <c r="BS37" s="185">
        <v>1</v>
      </c>
      <c r="BT37" s="185">
        <v>0</v>
      </c>
      <c r="BU37" s="185">
        <v>0</v>
      </c>
      <c r="BV37" s="185">
        <v>0</v>
      </c>
      <c r="BW37" s="185">
        <v>0</v>
      </c>
      <c r="BX37" s="185">
        <v>0</v>
      </c>
      <c r="BY37" s="185">
        <v>0</v>
      </c>
      <c r="BZ37" s="185">
        <v>0</v>
      </c>
      <c r="CA37" s="185">
        <v>0</v>
      </c>
      <c r="CB37" s="185">
        <v>0</v>
      </c>
      <c r="CC37" s="185">
        <v>0</v>
      </c>
      <c r="CD37" s="185">
        <v>1</v>
      </c>
      <c r="CE37" s="185">
        <v>0</v>
      </c>
      <c r="CF37" s="185">
        <v>0</v>
      </c>
      <c r="CG37" s="185">
        <v>0</v>
      </c>
      <c r="CH37" s="185">
        <v>0</v>
      </c>
      <c r="CI37" s="185">
        <v>0</v>
      </c>
      <c r="CJ37" s="185">
        <v>0</v>
      </c>
      <c r="CK37" s="185">
        <v>0</v>
      </c>
      <c r="CL37" s="185">
        <v>0</v>
      </c>
      <c r="CM37" s="185">
        <v>0</v>
      </c>
      <c r="CN37" s="185">
        <v>0</v>
      </c>
      <c r="CO37" s="185">
        <v>0</v>
      </c>
      <c r="CP37" s="185">
        <v>0</v>
      </c>
      <c r="CQ37" s="185">
        <v>0</v>
      </c>
      <c r="CR37" s="185">
        <v>0</v>
      </c>
      <c r="CS37" s="185">
        <v>0</v>
      </c>
      <c r="CT37" s="185">
        <v>0</v>
      </c>
      <c r="CU37" s="185">
        <v>1</v>
      </c>
      <c r="CV37" s="185">
        <v>0</v>
      </c>
      <c r="CW37" s="185">
        <v>0</v>
      </c>
      <c r="CX37" s="185">
        <v>0</v>
      </c>
      <c r="CY37" s="185">
        <v>0</v>
      </c>
      <c r="CZ37" s="185">
        <v>0</v>
      </c>
      <c r="DA37" s="185">
        <v>0</v>
      </c>
      <c r="DB37" s="185">
        <v>0</v>
      </c>
      <c r="DC37" s="185">
        <v>1</v>
      </c>
      <c r="DD37" s="185">
        <v>0</v>
      </c>
      <c r="DE37" s="185">
        <v>0</v>
      </c>
      <c r="DF37" s="185">
        <v>0</v>
      </c>
      <c r="DG37" s="185">
        <v>0</v>
      </c>
      <c r="DH37" s="185">
        <v>0</v>
      </c>
      <c r="DI37" s="185">
        <v>0</v>
      </c>
      <c r="DJ37" s="185">
        <v>0</v>
      </c>
      <c r="DK37" s="185">
        <v>0</v>
      </c>
      <c r="DL37" s="185">
        <v>0</v>
      </c>
      <c r="DM37" s="185">
        <v>0</v>
      </c>
      <c r="DN37" s="185">
        <v>0</v>
      </c>
      <c r="DO37" s="185">
        <v>0</v>
      </c>
      <c r="DP37" s="185">
        <v>1</v>
      </c>
      <c r="DQ37" s="185">
        <v>0</v>
      </c>
      <c r="DR37" s="185">
        <v>0</v>
      </c>
      <c r="DS37" s="185">
        <v>0</v>
      </c>
      <c r="DT37" s="185">
        <v>0</v>
      </c>
      <c r="DU37" s="185">
        <v>0</v>
      </c>
      <c r="DV37" s="185">
        <v>0</v>
      </c>
      <c r="DW37" s="185">
        <v>0</v>
      </c>
      <c r="DX37" s="185">
        <v>0</v>
      </c>
      <c r="DY37" s="185">
        <v>0</v>
      </c>
      <c r="DZ37" s="185">
        <v>0</v>
      </c>
      <c r="EA37" s="185">
        <v>0</v>
      </c>
      <c r="EB37" s="185">
        <v>0</v>
      </c>
      <c r="EC37" s="185">
        <v>0</v>
      </c>
      <c r="ED37" s="185">
        <v>0</v>
      </c>
      <c r="EE37" s="185">
        <v>0</v>
      </c>
      <c r="EF37" s="185">
        <v>0</v>
      </c>
      <c r="EG37" s="185">
        <v>0</v>
      </c>
      <c r="EH37" s="185">
        <v>0</v>
      </c>
      <c r="EI37" s="185">
        <v>0</v>
      </c>
      <c r="EJ37" s="185">
        <v>0</v>
      </c>
      <c r="EK37" s="185">
        <v>0</v>
      </c>
      <c r="EL37" s="185">
        <v>0</v>
      </c>
      <c r="EM37" s="185">
        <v>0</v>
      </c>
      <c r="EN37" s="185">
        <v>0</v>
      </c>
      <c r="EO37" s="185">
        <v>0</v>
      </c>
      <c r="EP37" s="185">
        <v>0</v>
      </c>
      <c r="EQ37" s="185">
        <v>0</v>
      </c>
      <c r="ER37" s="185">
        <v>1</v>
      </c>
      <c r="ES37" s="185">
        <v>0</v>
      </c>
      <c r="ET37" s="185">
        <v>0</v>
      </c>
      <c r="EU37" s="185">
        <v>0</v>
      </c>
      <c r="EV37" s="185">
        <v>0</v>
      </c>
      <c r="EW37" s="185">
        <v>0</v>
      </c>
      <c r="EX37" s="185">
        <v>0</v>
      </c>
      <c r="EY37" s="185">
        <v>0</v>
      </c>
      <c r="EZ37" s="185">
        <v>0</v>
      </c>
      <c r="FA37" s="185">
        <v>0</v>
      </c>
      <c r="FB37" s="185">
        <v>0</v>
      </c>
      <c r="FC37" s="185">
        <v>0</v>
      </c>
      <c r="FD37" s="185">
        <v>0</v>
      </c>
      <c r="FE37" s="185">
        <v>0</v>
      </c>
      <c r="FF37" s="185">
        <v>0</v>
      </c>
      <c r="FG37" s="185">
        <v>0</v>
      </c>
      <c r="FH37" s="185">
        <v>0</v>
      </c>
      <c r="FI37" s="185">
        <v>0</v>
      </c>
      <c r="FJ37" s="185">
        <v>0</v>
      </c>
      <c r="FK37" s="185">
        <v>0</v>
      </c>
      <c r="FL37" s="185">
        <v>0</v>
      </c>
      <c r="FM37" s="185">
        <v>0</v>
      </c>
      <c r="FN37" s="185">
        <v>0</v>
      </c>
      <c r="FO37" s="185">
        <v>0</v>
      </c>
    </row>
    <row r="38" spans="1:171" s="174" customFormat="1" x14ac:dyDescent="0.25">
      <c r="A38" s="175" t="s">
        <v>29</v>
      </c>
      <c r="B38" s="170" t="str">
        <f t="shared" si="2"/>
        <v>INN3368C-HP33</v>
      </c>
      <c r="C38" s="176"/>
      <c r="D38" s="176"/>
      <c r="E38" s="176" t="s">
        <v>456</v>
      </c>
      <c r="F38" s="177"/>
      <c r="G38" s="177"/>
      <c r="H38" s="177" t="s">
        <v>34</v>
      </c>
      <c r="I38" s="178">
        <v>6</v>
      </c>
      <c r="J38" s="178">
        <v>8</v>
      </c>
      <c r="K38" s="153">
        <v>8</v>
      </c>
      <c r="L38" s="154">
        <v>8</v>
      </c>
      <c r="M38" s="179">
        <v>115</v>
      </c>
      <c r="N38" s="180">
        <v>1650</v>
      </c>
      <c r="O38" s="78">
        <v>9.1</v>
      </c>
      <c r="P38" s="180">
        <v>25</v>
      </c>
      <c r="Q38" s="180">
        <v>0</v>
      </c>
      <c r="R38" s="180">
        <v>0</v>
      </c>
      <c r="S38" s="180">
        <v>0</v>
      </c>
      <c r="T38" s="180">
        <v>0</v>
      </c>
      <c r="U38" s="180">
        <v>0</v>
      </c>
      <c r="V38" s="180">
        <v>0</v>
      </c>
      <c r="W38" s="180">
        <v>0</v>
      </c>
      <c r="X38" s="180">
        <v>0</v>
      </c>
      <c r="Y38" s="180">
        <v>0</v>
      </c>
      <c r="Z38" s="180">
        <v>0</v>
      </c>
      <c r="AA38" s="180">
        <v>0</v>
      </c>
      <c r="AB38" s="180">
        <v>0</v>
      </c>
      <c r="AC38" s="180">
        <v>1</v>
      </c>
      <c r="AD38" s="181" t="s">
        <v>32</v>
      </c>
      <c r="AE38" s="180">
        <v>1</v>
      </c>
      <c r="AF38" s="182">
        <v>0</v>
      </c>
      <c r="AG38" s="183">
        <v>675</v>
      </c>
      <c r="AH38" s="184">
        <v>630</v>
      </c>
      <c r="AI38" s="180">
        <v>13</v>
      </c>
      <c r="AJ38" s="180">
        <v>0</v>
      </c>
      <c r="AK38" s="180">
        <v>17</v>
      </c>
      <c r="AL38" s="180">
        <v>11</v>
      </c>
      <c r="AM38" s="180">
        <v>0</v>
      </c>
      <c r="AN38" s="180">
        <v>0</v>
      </c>
      <c r="AO38" s="106">
        <v>132</v>
      </c>
      <c r="AP38" s="114">
        <v>3.2000000000000001E-2</v>
      </c>
      <c r="AQ38" s="79">
        <v>5</v>
      </c>
      <c r="AR38" s="103">
        <v>0</v>
      </c>
      <c r="AS38" s="103">
        <v>0</v>
      </c>
      <c r="AT38" s="103">
        <v>0</v>
      </c>
      <c r="AU38" s="103">
        <v>0</v>
      </c>
      <c r="AV38" s="103">
        <v>0</v>
      </c>
      <c r="AW38" s="103">
        <v>0</v>
      </c>
      <c r="AX38" s="103">
        <v>0</v>
      </c>
      <c r="AY38" s="103">
        <v>0</v>
      </c>
      <c r="AZ38" s="103">
        <v>0</v>
      </c>
      <c r="BA38" s="103">
        <v>0</v>
      </c>
      <c r="BB38" s="103">
        <v>0</v>
      </c>
      <c r="BC38" s="103">
        <v>0</v>
      </c>
      <c r="BD38" s="103">
        <v>0</v>
      </c>
      <c r="BE38" s="103">
        <v>0</v>
      </c>
      <c r="BF38" s="103">
        <v>0</v>
      </c>
      <c r="BG38" s="103">
        <v>0</v>
      </c>
      <c r="BH38" s="103">
        <v>0</v>
      </c>
      <c r="BI38" s="103">
        <v>0</v>
      </c>
      <c r="BJ38" s="103">
        <v>0</v>
      </c>
      <c r="BK38" s="103">
        <v>0</v>
      </c>
      <c r="BL38" s="103">
        <v>0</v>
      </c>
      <c r="BM38" s="103">
        <v>0</v>
      </c>
      <c r="BN38" s="103">
        <v>0</v>
      </c>
      <c r="BO38" s="103">
        <v>1</v>
      </c>
      <c r="BP38" s="103">
        <v>0</v>
      </c>
      <c r="BQ38" s="103">
        <v>0</v>
      </c>
      <c r="BR38" s="103">
        <v>0</v>
      </c>
      <c r="BS38" s="103">
        <v>1</v>
      </c>
      <c r="BT38" s="103">
        <v>0</v>
      </c>
      <c r="BU38" s="103">
        <v>0</v>
      </c>
      <c r="BV38" s="103">
        <v>0</v>
      </c>
      <c r="BW38" s="103">
        <v>0</v>
      </c>
      <c r="BX38" s="103">
        <v>0</v>
      </c>
      <c r="BY38" s="103">
        <v>0</v>
      </c>
      <c r="BZ38" s="103">
        <v>0</v>
      </c>
      <c r="CA38" s="103">
        <v>0</v>
      </c>
      <c r="CB38" s="103">
        <v>0</v>
      </c>
      <c r="CC38" s="103">
        <v>0</v>
      </c>
      <c r="CD38" s="103">
        <v>1</v>
      </c>
      <c r="CE38" s="103">
        <v>0</v>
      </c>
      <c r="CF38" s="103">
        <v>0</v>
      </c>
      <c r="CG38" s="103">
        <v>0</v>
      </c>
      <c r="CH38" s="103">
        <v>0</v>
      </c>
      <c r="CI38" s="103">
        <v>0</v>
      </c>
      <c r="CJ38" s="103">
        <v>0</v>
      </c>
      <c r="CK38" s="103">
        <v>0</v>
      </c>
      <c r="CL38" s="103">
        <v>0</v>
      </c>
      <c r="CM38" s="103">
        <v>0</v>
      </c>
      <c r="CN38" s="103">
        <v>0</v>
      </c>
      <c r="CO38" s="103">
        <v>0</v>
      </c>
      <c r="CP38" s="103">
        <v>0</v>
      </c>
      <c r="CQ38" s="103">
        <v>0</v>
      </c>
      <c r="CR38" s="103">
        <v>0</v>
      </c>
      <c r="CS38" s="103">
        <v>0</v>
      </c>
      <c r="CT38" s="103">
        <v>0</v>
      </c>
      <c r="CU38" s="103">
        <v>1</v>
      </c>
      <c r="CV38" s="103">
        <v>0</v>
      </c>
      <c r="CW38" s="103">
        <v>0</v>
      </c>
      <c r="CX38" s="103">
        <v>0</v>
      </c>
      <c r="CY38" s="103">
        <v>0</v>
      </c>
      <c r="CZ38" s="103">
        <v>0</v>
      </c>
      <c r="DA38" s="103">
        <v>0</v>
      </c>
      <c r="DB38" s="103">
        <v>0</v>
      </c>
      <c r="DC38" s="103">
        <v>1</v>
      </c>
      <c r="DD38" s="103">
        <v>0</v>
      </c>
      <c r="DE38" s="103">
        <v>0</v>
      </c>
      <c r="DF38" s="103">
        <v>0</v>
      </c>
      <c r="DG38" s="103">
        <v>0</v>
      </c>
      <c r="DH38" s="103">
        <v>0</v>
      </c>
      <c r="DI38" s="103">
        <v>0</v>
      </c>
      <c r="DJ38" s="103">
        <v>0</v>
      </c>
      <c r="DK38" s="103">
        <v>0</v>
      </c>
      <c r="DL38" s="103">
        <v>0</v>
      </c>
      <c r="DM38" s="103">
        <v>0</v>
      </c>
      <c r="DN38" s="103">
        <v>0</v>
      </c>
      <c r="DO38" s="103">
        <v>0</v>
      </c>
      <c r="DP38" s="103">
        <v>0</v>
      </c>
      <c r="DQ38" s="103">
        <v>0</v>
      </c>
      <c r="DR38" s="103">
        <v>0</v>
      </c>
      <c r="DS38" s="103">
        <v>0</v>
      </c>
      <c r="DT38" s="103">
        <v>0</v>
      </c>
      <c r="DU38" s="103">
        <v>0</v>
      </c>
      <c r="DV38" s="103">
        <v>0</v>
      </c>
      <c r="DW38" s="103">
        <v>0</v>
      </c>
      <c r="DX38" s="103">
        <v>0</v>
      </c>
      <c r="DY38" s="103">
        <v>0</v>
      </c>
      <c r="DZ38" s="103">
        <v>0</v>
      </c>
      <c r="EA38" s="103">
        <v>0</v>
      </c>
      <c r="EB38" s="103">
        <v>0</v>
      </c>
      <c r="EC38" s="103">
        <v>0</v>
      </c>
      <c r="ED38" s="103">
        <v>0</v>
      </c>
      <c r="EE38" s="103">
        <v>0</v>
      </c>
      <c r="EF38" s="103">
        <v>0</v>
      </c>
      <c r="EG38" s="103">
        <v>0</v>
      </c>
      <c r="EH38" s="103">
        <v>0</v>
      </c>
      <c r="EI38" s="103">
        <v>0</v>
      </c>
      <c r="EJ38" s="103">
        <v>0</v>
      </c>
      <c r="EK38" s="103">
        <v>0</v>
      </c>
      <c r="EL38" s="103">
        <v>0</v>
      </c>
      <c r="EM38" s="103">
        <v>0</v>
      </c>
      <c r="EN38" s="103">
        <v>0</v>
      </c>
      <c r="EO38" s="103">
        <v>0</v>
      </c>
      <c r="EP38" s="103">
        <v>0</v>
      </c>
      <c r="EQ38" s="103">
        <v>0</v>
      </c>
      <c r="ER38" s="103">
        <v>1</v>
      </c>
      <c r="ES38" s="103">
        <v>0</v>
      </c>
      <c r="ET38" s="103">
        <v>0</v>
      </c>
      <c r="EU38" s="103">
        <v>0</v>
      </c>
      <c r="EV38" s="103">
        <v>0</v>
      </c>
      <c r="EW38" s="103">
        <v>0</v>
      </c>
      <c r="EX38" s="103">
        <v>0</v>
      </c>
      <c r="EY38" s="103">
        <v>0</v>
      </c>
      <c r="EZ38" s="103">
        <v>0</v>
      </c>
      <c r="FA38" s="103">
        <v>0</v>
      </c>
      <c r="FB38" s="103">
        <v>0</v>
      </c>
      <c r="FC38" s="103">
        <v>0</v>
      </c>
      <c r="FD38" s="103">
        <v>0</v>
      </c>
      <c r="FE38" s="103">
        <v>0</v>
      </c>
      <c r="FF38" s="103">
        <v>0</v>
      </c>
      <c r="FG38" s="103">
        <v>0</v>
      </c>
      <c r="FH38" s="103">
        <v>0</v>
      </c>
      <c r="FI38" s="103">
        <v>0</v>
      </c>
      <c r="FJ38" s="103">
        <v>0</v>
      </c>
      <c r="FK38" s="103">
        <v>0</v>
      </c>
      <c r="FL38" s="103">
        <v>0</v>
      </c>
      <c r="FM38" s="103">
        <v>0</v>
      </c>
      <c r="FN38" s="103">
        <v>0</v>
      </c>
      <c r="FO38" s="103">
        <v>0</v>
      </c>
    </row>
    <row r="39" spans="1:171" s="174" customFormat="1" x14ac:dyDescent="0.25">
      <c r="A39" s="175" t="s">
        <v>29</v>
      </c>
      <c r="B39" s="170" t="str">
        <f t="shared" si="2"/>
        <v>INN3377C-HP34</v>
      </c>
      <c r="C39" s="176"/>
      <c r="D39" s="176"/>
      <c r="E39" s="176" t="s">
        <v>461</v>
      </c>
      <c r="F39" s="177"/>
      <c r="G39" s="177"/>
      <c r="H39" s="177" t="s">
        <v>34</v>
      </c>
      <c r="I39" s="178">
        <v>7</v>
      </c>
      <c r="J39" s="178">
        <v>7</v>
      </c>
      <c r="K39" s="153">
        <v>7</v>
      </c>
      <c r="L39" s="154">
        <v>7</v>
      </c>
      <c r="M39" s="179">
        <v>115</v>
      </c>
      <c r="N39" s="180">
        <v>1850</v>
      </c>
      <c r="O39" s="78">
        <v>9.1</v>
      </c>
      <c r="P39" s="180">
        <v>25</v>
      </c>
      <c r="Q39" s="180">
        <v>0</v>
      </c>
      <c r="R39" s="180">
        <v>0</v>
      </c>
      <c r="S39" s="180">
        <v>0</v>
      </c>
      <c r="T39" s="180">
        <v>0</v>
      </c>
      <c r="U39" s="180">
        <v>0</v>
      </c>
      <c r="V39" s="180">
        <v>0</v>
      </c>
      <c r="W39" s="180">
        <v>0</v>
      </c>
      <c r="X39" s="180">
        <v>0</v>
      </c>
      <c r="Y39" s="180">
        <v>1</v>
      </c>
      <c r="Z39" s="180">
        <v>1</v>
      </c>
      <c r="AA39" s="180">
        <v>0</v>
      </c>
      <c r="AB39" s="180">
        <v>0</v>
      </c>
      <c r="AC39" s="180">
        <v>1</v>
      </c>
      <c r="AD39" s="181" t="s">
        <v>32</v>
      </c>
      <c r="AE39" s="180">
        <v>1</v>
      </c>
      <c r="AF39" s="182">
        <v>0</v>
      </c>
      <c r="AG39" s="183">
        <v>750</v>
      </c>
      <c r="AH39" s="184">
        <v>705</v>
      </c>
      <c r="AI39" s="180">
        <v>13</v>
      </c>
      <c r="AJ39" s="180">
        <v>0</v>
      </c>
      <c r="AK39" s="180">
        <v>22</v>
      </c>
      <c r="AL39" s="180">
        <v>10</v>
      </c>
      <c r="AM39" s="180">
        <v>0</v>
      </c>
      <c r="AN39" s="180">
        <v>1</v>
      </c>
      <c r="AO39" s="106">
        <v>132</v>
      </c>
      <c r="AP39" s="114">
        <v>3.2000000000000001E-2</v>
      </c>
      <c r="AQ39" s="79">
        <v>5</v>
      </c>
      <c r="AR39" s="103">
        <v>0</v>
      </c>
      <c r="AS39" s="103">
        <v>0</v>
      </c>
      <c r="AT39" s="103">
        <v>0</v>
      </c>
      <c r="AU39" s="103">
        <v>0</v>
      </c>
      <c r="AV39" s="103">
        <v>0</v>
      </c>
      <c r="AW39" s="103">
        <v>0</v>
      </c>
      <c r="AX39" s="103">
        <v>0</v>
      </c>
      <c r="AY39" s="103">
        <v>0</v>
      </c>
      <c r="AZ39" s="103">
        <v>0</v>
      </c>
      <c r="BA39" s="103">
        <v>0</v>
      </c>
      <c r="BB39" s="103">
        <v>0</v>
      </c>
      <c r="BC39" s="103">
        <v>0</v>
      </c>
      <c r="BD39" s="103">
        <v>0</v>
      </c>
      <c r="BE39" s="103">
        <v>0</v>
      </c>
      <c r="BF39" s="103">
        <v>0</v>
      </c>
      <c r="BG39" s="103">
        <v>0</v>
      </c>
      <c r="BH39" s="103">
        <v>0</v>
      </c>
      <c r="BI39" s="103">
        <v>0</v>
      </c>
      <c r="BJ39" s="103">
        <v>0</v>
      </c>
      <c r="BK39" s="103">
        <v>0</v>
      </c>
      <c r="BL39" s="103">
        <v>0</v>
      </c>
      <c r="BM39" s="103">
        <v>0</v>
      </c>
      <c r="BN39" s="103">
        <v>0</v>
      </c>
      <c r="BO39" s="103">
        <v>1</v>
      </c>
      <c r="BP39" s="103">
        <v>0</v>
      </c>
      <c r="BQ39" s="103">
        <v>0</v>
      </c>
      <c r="BR39" s="103">
        <v>0</v>
      </c>
      <c r="BS39" s="103">
        <v>1</v>
      </c>
      <c r="BT39" s="103">
        <v>0</v>
      </c>
      <c r="BU39" s="103">
        <v>0</v>
      </c>
      <c r="BV39" s="103">
        <v>0</v>
      </c>
      <c r="BW39" s="103">
        <v>0</v>
      </c>
      <c r="BX39" s="103">
        <v>0</v>
      </c>
      <c r="BY39" s="103">
        <v>0</v>
      </c>
      <c r="BZ39" s="103">
        <v>0</v>
      </c>
      <c r="CA39" s="103">
        <v>0</v>
      </c>
      <c r="CB39" s="103">
        <v>0</v>
      </c>
      <c r="CC39" s="103">
        <v>0</v>
      </c>
      <c r="CD39" s="103">
        <v>1</v>
      </c>
      <c r="CE39" s="103">
        <v>0</v>
      </c>
      <c r="CF39" s="103">
        <v>0</v>
      </c>
      <c r="CG39" s="103">
        <v>0</v>
      </c>
      <c r="CH39" s="103">
        <v>0</v>
      </c>
      <c r="CI39" s="103">
        <v>0</v>
      </c>
      <c r="CJ39" s="103">
        <v>0</v>
      </c>
      <c r="CK39" s="103">
        <v>0</v>
      </c>
      <c r="CL39" s="103">
        <v>0</v>
      </c>
      <c r="CM39" s="103">
        <v>0</v>
      </c>
      <c r="CN39" s="103">
        <v>0</v>
      </c>
      <c r="CO39" s="103">
        <v>0</v>
      </c>
      <c r="CP39" s="103">
        <v>0</v>
      </c>
      <c r="CQ39" s="103">
        <v>0</v>
      </c>
      <c r="CR39" s="103">
        <v>0</v>
      </c>
      <c r="CS39" s="103">
        <v>0</v>
      </c>
      <c r="CT39" s="103">
        <v>0</v>
      </c>
      <c r="CU39" s="103">
        <v>1</v>
      </c>
      <c r="CV39" s="103">
        <v>0</v>
      </c>
      <c r="CW39" s="103">
        <v>0</v>
      </c>
      <c r="CX39" s="103">
        <v>0</v>
      </c>
      <c r="CY39" s="103">
        <v>0</v>
      </c>
      <c r="CZ39" s="103">
        <v>0</v>
      </c>
      <c r="DA39" s="103">
        <v>0</v>
      </c>
      <c r="DB39" s="103">
        <v>0</v>
      </c>
      <c r="DC39" s="103">
        <v>1</v>
      </c>
      <c r="DD39" s="103">
        <v>0</v>
      </c>
      <c r="DE39" s="103">
        <v>0</v>
      </c>
      <c r="DF39" s="103">
        <v>0</v>
      </c>
      <c r="DG39" s="103">
        <v>0</v>
      </c>
      <c r="DH39" s="103">
        <v>0</v>
      </c>
      <c r="DI39" s="103">
        <v>0</v>
      </c>
      <c r="DJ39" s="103">
        <v>0</v>
      </c>
      <c r="DK39" s="103">
        <v>0</v>
      </c>
      <c r="DL39" s="103">
        <v>0</v>
      </c>
      <c r="DM39" s="103">
        <v>0</v>
      </c>
      <c r="DN39" s="103">
        <v>0</v>
      </c>
      <c r="DO39" s="103">
        <v>0</v>
      </c>
      <c r="DP39" s="103">
        <v>1</v>
      </c>
      <c r="DQ39" s="103">
        <v>0</v>
      </c>
      <c r="DR39" s="103">
        <v>0</v>
      </c>
      <c r="DS39" s="103">
        <v>0</v>
      </c>
      <c r="DT39" s="103">
        <v>0</v>
      </c>
      <c r="DU39" s="103">
        <v>0</v>
      </c>
      <c r="DV39" s="103">
        <v>0</v>
      </c>
      <c r="DW39" s="103">
        <v>0</v>
      </c>
      <c r="DX39" s="103">
        <v>0</v>
      </c>
      <c r="DY39" s="103">
        <v>0</v>
      </c>
      <c r="DZ39" s="103">
        <v>0</v>
      </c>
      <c r="EA39" s="103">
        <v>0</v>
      </c>
      <c r="EB39" s="103">
        <v>0</v>
      </c>
      <c r="EC39" s="103">
        <v>0</v>
      </c>
      <c r="ED39" s="103">
        <v>0</v>
      </c>
      <c r="EE39" s="103">
        <v>0</v>
      </c>
      <c r="EF39" s="103">
        <v>0</v>
      </c>
      <c r="EG39" s="103">
        <v>0</v>
      </c>
      <c r="EH39" s="103">
        <v>0</v>
      </c>
      <c r="EI39" s="103">
        <v>0</v>
      </c>
      <c r="EJ39" s="103">
        <v>0</v>
      </c>
      <c r="EK39" s="103">
        <v>0</v>
      </c>
      <c r="EL39" s="103">
        <v>0</v>
      </c>
      <c r="EM39" s="103">
        <v>0</v>
      </c>
      <c r="EN39" s="103">
        <v>0</v>
      </c>
      <c r="EO39" s="103">
        <v>0</v>
      </c>
      <c r="EP39" s="103">
        <v>0</v>
      </c>
      <c r="EQ39" s="103">
        <v>0</v>
      </c>
      <c r="ER39" s="103">
        <v>1</v>
      </c>
      <c r="ES39" s="103">
        <v>0</v>
      </c>
      <c r="ET39" s="103">
        <v>0</v>
      </c>
      <c r="EU39" s="103">
        <v>0</v>
      </c>
      <c r="EV39" s="103">
        <v>0</v>
      </c>
      <c r="EW39" s="103">
        <v>0</v>
      </c>
      <c r="EX39" s="103">
        <v>0</v>
      </c>
      <c r="EY39" s="103">
        <v>0</v>
      </c>
      <c r="EZ39" s="103">
        <v>0</v>
      </c>
      <c r="FA39" s="103">
        <v>0</v>
      </c>
      <c r="FB39" s="103">
        <v>0</v>
      </c>
      <c r="FC39" s="103">
        <v>0</v>
      </c>
      <c r="FD39" s="103">
        <v>0</v>
      </c>
      <c r="FE39" s="103">
        <v>0</v>
      </c>
      <c r="FF39" s="103">
        <v>0</v>
      </c>
      <c r="FG39" s="103">
        <v>0</v>
      </c>
      <c r="FH39" s="103">
        <v>0</v>
      </c>
      <c r="FI39" s="103">
        <v>0</v>
      </c>
      <c r="FJ39" s="103">
        <v>0</v>
      </c>
      <c r="FK39" s="103">
        <v>0</v>
      </c>
      <c r="FL39" s="103">
        <v>0</v>
      </c>
      <c r="FM39" s="103">
        <v>0</v>
      </c>
      <c r="FN39" s="103">
        <v>0</v>
      </c>
      <c r="FO39" s="103">
        <v>0</v>
      </c>
    </row>
    <row r="40" spans="1:171" x14ac:dyDescent="0.25">
      <c r="A40" s="76" t="s">
        <v>30</v>
      </c>
      <c r="B40" s="119"/>
      <c r="C40" s="119"/>
      <c r="D40" s="119"/>
      <c r="E40" s="119"/>
      <c r="F40" s="119"/>
      <c r="G40" s="119"/>
      <c r="H40" s="120"/>
      <c r="AN40" s="119"/>
      <c r="AO40" s="119"/>
      <c r="AP40" s="121"/>
      <c r="AQ40" s="119"/>
      <c r="AR40" s="119"/>
      <c r="AS40" s="119"/>
      <c r="AT40" s="119"/>
      <c r="AU40" s="119"/>
      <c r="AV40" s="119"/>
    </row>
    <row r="50" spans="9:40" x14ac:dyDescent="0.25">
      <c r="AN50" s="1"/>
    </row>
    <row r="51" spans="9:40" x14ac:dyDescent="0.25">
      <c r="AN51" s="1"/>
    </row>
    <row r="52" spans="9:40" x14ac:dyDescent="0.25">
      <c r="AN52" s="1"/>
    </row>
    <row r="53" spans="9:40" x14ac:dyDescent="0.25">
      <c r="I53" s="23"/>
      <c r="J53" s="23"/>
      <c r="AF53" s="143"/>
      <c r="AG53" s="143"/>
      <c r="AH53" s="143"/>
      <c r="AI53" s="143"/>
      <c r="AJ53" s="143"/>
      <c r="AK53" s="143"/>
      <c r="AL53" s="143"/>
      <c r="AM53" s="143"/>
      <c r="AN53" s="1"/>
    </row>
    <row r="54" spans="9:40" x14ac:dyDescent="0.25">
      <c r="AN54" s="1"/>
    </row>
    <row r="55" spans="9:40" x14ac:dyDescent="0.25">
      <c r="AN55" s="1"/>
    </row>
    <row r="56" spans="9:40" x14ac:dyDescent="0.25">
      <c r="AN56" s="1"/>
    </row>
    <row r="57" spans="9:40" x14ac:dyDescent="0.25">
      <c r="AN57" s="1"/>
    </row>
    <row r="58" spans="9:40" x14ac:dyDescent="0.25">
      <c r="AN58" s="1"/>
    </row>
    <row r="59" spans="9:40" x14ac:dyDescent="0.25">
      <c r="AN59" s="1"/>
    </row>
    <row r="60" spans="9:40" x14ac:dyDescent="0.25">
      <c r="AN60" s="1"/>
    </row>
    <row r="61" spans="9:40" x14ac:dyDescent="0.25">
      <c r="AN61" s="1"/>
    </row>
    <row r="62" spans="9:40" x14ac:dyDescent="0.25">
      <c r="AN62" s="1"/>
    </row>
    <row r="63" spans="9:40" x14ac:dyDescent="0.25">
      <c r="AN63" s="1"/>
    </row>
    <row r="64" spans="9:40" x14ac:dyDescent="0.25">
      <c r="AF64" s="16"/>
      <c r="AJ64" s="2"/>
      <c r="AK64" s="2"/>
      <c r="AL64" s="1"/>
      <c r="AM64" s="1"/>
      <c r="AN64" s="1"/>
    </row>
  </sheetData>
  <autoFilter ref="A13:AV53"/>
  <mergeCells count="1">
    <mergeCell ref="C12:E1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O35"/>
  <sheetViews>
    <sheetView zoomScaleNormal="100" workbookViewId="0">
      <pane xSplit="10" ySplit="13" topLeftCell="AA14" activePane="bottomRight" state="frozen"/>
      <selection pane="topRight" activeCell="K1" sqref="K1"/>
      <selection pane="bottomLeft" activeCell="A14" sqref="A14"/>
      <selection pane="bottomRight" activeCell="AI13" sqref="AI13"/>
    </sheetView>
  </sheetViews>
  <sheetFormatPr defaultRowHeight="15" x14ac:dyDescent="0.25"/>
  <cols>
    <col min="1" max="1" width="14.28515625" customWidth="1"/>
    <col min="2" max="2" width="20.42578125" customWidth="1"/>
    <col min="10" max="10" width="10.7109375" bestFit="1" customWidth="1"/>
    <col min="11" max="12" width="9.42578125" bestFit="1" customWidth="1"/>
    <col min="13" max="13" width="6.28515625" customWidth="1"/>
    <col min="14" max="14" width="5.7109375" customWidth="1"/>
    <col min="15" max="15" width="6.28515625" customWidth="1"/>
    <col min="16" max="16" width="8.5703125" customWidth="1"/>
    <col min="17" max="17" width="8.28515625" customWidth="1"/>
    <col min="18" max="18" width="10.85546875" bestFit="1" customWidth="1"/>
    <col min="19" max="19" width="7.85546875" customWidth="1"/>
    <col min="20" max="20" width="10.140625" customWidth="1"/>
    <col min="21" max="21" width="8" customWidth="1"/>
    <col min="22" max="22" width="10.7109375" bestFit="1" customWidth="1"/>
    <col min="23" max="23" width="9" bestFit="1" customWidth="1"/>
    <col min="24" max="24" width="10.28515625" bestFit="1" customWidth="1"/>
    <col min="25" max="25" width="12.28515625" bestFit="1" customWidth="1"/>
    <col min="26" max="26" width="9.7109375" bestFit="1" customWidth="1"/>
    <col min="27" max="27" width="10.7109375" bestFit="1" customWidth="1"/>
    <col min="28" max="28" width="11.5703125" bestFit="1" customWidth="1"/>
    <col min="29" max="29" width="10.5703125" bestFit="1" customWidth="1"/>
    <col min="30" max="30" width="11.5703125" bestFit="1" customWidth="1"/>
    <col min="31" max="31" width="12" bestFit="1" customWidth="1"/>
    <col min="32" max="32" width="12.7109375" bestFit="1" customWidth="1"/>
    <col min="33" max="34" width="10" bestFit="1" customWidth="1"/>
    <col min="35" max="35" width="12.7109375" customWidth="1"/>
    <col min="36" max="36" width="7.5703125" customWidth="1"/>
    <col min="37" max="37" width="8" customWidth="1"/>
    <col min="38" max="38" width="12.42578125" customWidth="1"/>
    <col min="39" max="39" width="9.7109375" bestFit="1" customWidth="1"/>
    <col min="40" max="41" width="8.5703125" customWidth="1"/>
    <col min="42" max="42" width="10.7109375" bestFit="1" customWidth="1"/>
    <col min="43" max="43" width="4.28515625" customWidth="1"/>
    <col min="44" max="44" width="14" bestFit="1" customWidth="1"/>
    <col min="45" max="45" width="13.5703125" bestFit="1" customWidth="1"/>
    <col min="46" max="46" width="14" bestFit="1" customWidth="1"/>
    <col min="47" max="53" width="11.7109375" bestFit="1" customWidth="1"/>
    <col min="54" max="54" width="12.42578125" bestFit="1" customWidth="1"/>
    <col min="55" max="55" width="12.28515625" bestFit="1" customWidth="1"/>
    <col min="56" max="63" width="12.42578125" bestFit="1" customWidth="1"/>
    <col min="64" max="64" width="13" bestFit="1" customWidth="1"/>
    <col min="65" max="65" width="12.42578125" bestFit="1" customWidth="1"/>
    <col min="66" max="74" width="13" bestFit="1" customWidth="1"/>
    <col min="75" max="75" width="12.42578125" bestFit="1" customWidth="1"/>
    <col min="76" max="84" width="13" bestFit="1" customWidth="1"/>
    <col min="85" max="85" width="12.42578125" bestFit="1" customWidth="1"/>
    <col min="86" max="94" width="13" bestFit="1" customWidth="1"/>
    <col min="95" max="95" width="12.42578125" bestFit="1" customWidth="1"/>
    <col min="96" max="104" width="13" bestFit="1" customWidth="1"/>
    <col min="105" max="105" width="12.42578125" bestFit="1" customWidth="1"/>
    <col min="106" max="114" width="13" bestFit="1" customWidth="1"/>
    <col min="115" max="115" width="12.42578125" bestFit="1" customWidth="1"/>
    <col min="116" max="124" width="13" bestFit="1" customWidth="1"/>
    <col min="125" max="125" width="12.42578125" bestFit="1" customWidth="1"/>
    <col min="126" max="134" width="13" bestFit="1" customWidth="1"/>
    <col min="135" max="135" width="12.42578125" bestFit="1" customWidth="1"/>
    <col min="136" max="143" width="13" bestFit="1" customWidth="1"/>
    <col min="144" max="144" width="13.7109375" bestFit="1" customWidth="1"/>
    <col min="145" max="145" width="13.42578125" bestFit="1" customWidth="1"/>
    <col min="146" max="148" width="13.7109375" bestFit="1" customWidth="1"/>
    <col min="149" max="149" width="16.7109375" bestFit="1" customWidth="1"/>
    <col min="150" max="153" width="13.7109375" bestFit="1" customWidth="1"/>
    <col min="154" max="154" width="13.42578125" bestFit="1" customWidth="1"/>
    <col min="155" max="155" width="13.140625" bestFit="1" customWidth="1"/>
    <col min="156" max="163" width="13.42578125" bestFit="1" customWidth="1"/>
    <col min="164" max="164" width="13.7109375" bestFit="1" customWidth="1"/>
    <col min="165" max="165" width="13.42578125" bestFit="1" customWidth="1"/>
    <col min="166" max="171" width="13.7109375" bestFit="1" customWidth="1"/>
  </cols>
  <sheetData>
    <row r="1" spans="1:171" s="46" customFormat="1" ht="14.45" x14ac:dyDescent="0.3">
      <c r="A1" s="46" t="s">
        <v>97</v>
      </c>
      <c r="B1" s="7"/>
      <c r="C1" s="7"/>
      <c r="D1" s="7"/>
      <c r="E1" s="7"/>
      <c r="F1" s="1"/>
      <c r="G1" s="1"/>
      <c r="H1" s="1"/>
      <c r="I1" s="6"/>
      <c r="J1" s="6"/>
      <c r="AD1" s="1"/>
      <c r="AF1" s="1"/>
    </row>
    <row r="2" spans="1:171" s="46" customFormat="1" ht="14.45" x14ac:dyDescent="0.3">
      <c r="A2" s="46" t="s">
        <v>1</v>
      </c>
      <c r="B2" s="9" t="s">
        <v>459</v>
      </c>
      <c r="C2" s="9"/>
      <c r="D2" s="9"/>
      <c r="E2" s="9"/>
      <c r="F2" s="1"/>
      <c r="G2" s="1"/>
      <c r="H2" s="1"/>
      <c r="I2" s="6"/>
      <c r="J2" s="6"/>
      <c r="AD2" s="1"/>
      <c r="AF2" s="1"/>
    </row>
    <row r="3" spans="1:171" s="46" customFormat="1" ht="14.45" x14ac:dyDescent="0.3">
      <c r="A3" s="46" t="s">
        <v>2</v>
      </c>
      <c r="B3" s="8">
        <f>Hcode_master_list!B3</f>
        <v>43277</v>
      </c>
      <c r="C3" s="8"/>
      <c r="D3" s="8"/>
      <c r="E3" s="8"/>
      <c r="F3" s="1"/>
      <c r="G3" s="1"/>
      <c r="H3" s="1"/>
      <c r="I3" s="6"/>
      <c r="J3" s="6"/>
      <c r="AD3" s="1"/>
      <c r="AF3" s="1"/>
    </row>
    <row r="4" spans="1:171" s="46" customFormat="1" ht="14.45" x14ac:dyDescent="0.3">
      <c r="B4" s="46">
        <v>1</v>
      </c>
      <c r="F4" s="1"/>
      <c r="G4" s="1"/>
      <c r="H4" s="1"/>
      <c r="I4" s="6"/>
      <c r="J4" s="6"/>
      <c r="AD4" s="1"/>
      <c r="AF4" s="1"/>
    </row>
    <row r="5" spans="1:171" s="46" customFormat="1" ht="14.45" x14ac:dyDescent="0.3">
      <c r="A5" s="46" t="s">
        <v>3</v>
      </c>
      <c r="B5" s="46" t="s">
        <v>4</v>
      </c>
      <c r="F5" s="1"/>
      <c r="G5" s="1"/>
      <c r="H5" s="1"/>
      <c r="I5" s="6"/>
      <c r="J5" s="6"/>
      <c r="AD5" s="1"/>
      <c r="AF5" s="1"/>
    </row>
    <row r="6" spans="1:171" s="46" customFormat="1" ht="14.45" x14ac:dyDescent="0.3">
      <c r="A6" s="46" t="s">
        <v>3</v>
      </c>
      <c r="B6" s="46" t="s">
        <v>5</v>
      </c>
      <c r="F6" s="1"/>
      <c r="G6" s="1"/>
      <c r="H6" s="1"/>
      <c r="I6" s="6"/>
      <c r="J6" s="6"/>
      <c r="AD6" s="1"/>
      <c r="AF6" s="1"/>
    </row>
    <row r="7" spans="1:171" s="46" customFormat="1" ht="14.45" x14ac:dyDescent="0.3">
      <c r="A7" s="46" t="s">
        <v>3</v>
      </c>
      <c r="B7" s="46" t="s">
        <v>6</v>
      </c>
      <c r="F7" s="1"/>
      <c r="G7" s="1"/>
      <c r="H7" s="1"/>
      <c r="I7" s="6"/>
      <c r="J7" s="6"/>
      <c r="AD7" s="1"/>
      <c r="AF7" s="1"/>
    </row>
    <row r="8" spans="1:171" s="46" customFormat="1" ht="14.45" x14ac:dyDescent="0.3">
      <c r="A8" s="46" t="s">
        <v>3</v>
      </c>
      <c r="B8" s="46" t="s">
        <v>7</v>
      </c>
      <c r="F8" s="1"/>
      <c r="G8" s="1"/>
      <c r="H8" s="1"/>
      <c r="I8" s="6"/>
      <c r="J8" s="6"/>
      <c r="AD8" s="1"/>
      <c r="AF8" s="1"/>
    </row>
    <row r="9" spans="1:171" s="46" customFormat="1" ht="14.45" x14ac:dyDescent="0.3">
      <c r="A9" s="46" t="s">
        <v>3</v>
      </c>
      <c r="B9" s="46" t="s">
        <v>8</v>
      </c>
      <c r="F9" s="1"/>
      <c r="G9" s="1"/>
      <c r="H9" s="1"/>
      <c r="I9" s="6"/>
      <c r="J9" s="6"/>
      <c r="AD9" s="1"/>
      <c r="AF9" s="1"/>
    </row>
    <row r="10" spans="1:171" s="46" customFormat="1" ht="14.45" x14ac:dyDescent="0.3">
      <c r="F10" s="1"/>
      <c r="G10" s="1"/>
      <c r="H10" s="1"/>
      <c r="I10" s="6"/>
      <c r="J10" s="6"/>
      <c r="AD10" s="1"/>
      <c r="AF10" s="1"/>
    </row>
    <row r="11" spans="1:171" s="126" customFormat="1" ht="14.45" x14ac:dyDescent="0.3">
      <c r="A11" s="70" t="s">
        <v>9</v>
      </c>
      <c r="B11" s="71">
        <v>1</v>
      </c>
      <c r="C11" s="71"/>
      <c r="D11" s="71"/>
      <c r="E11" s="71"/>
      <c r="F11" s="77">
        <v>2</v>
      </c>
      <c r="G11" s="77">
        <v>3</v>
      </c>
      <c r="H11" s="77">
        <v>4</v>
      </c>
      <c r="I11" s="77"/>
      <c r="J11" s="77"/>
      <c r="K11" s="72">
        <v>5</v>
      </c>
      <c r="L11" s="73">
        <v>6</v>
      </c>
      <c r="M11" s="78">
        <v>7</v>
      </c>
      <c r="N11" s="78">
        <v>8</v>
      </c>
      <c r="O11" s="78">
        <v>9</v>
      </c>
      <c r="P11" s="78">
        <v>10</v>
      </c>
      <c r="Q11" s="78">
        <v>11</v>
      </c>
      <c r="R11" s="78">
        <v>12</v>
      </c>
      <c r="S11" s="78">
        <v>13</v>
      </c>
      <c r="T11" s="78">
        <v>14</v>
      </c>
      <c r="U11" s="78">
        <v>15</v>
      </c>
      <c r="V11" s="78">
        <v>16</v>
      </c>
      <c r="W11" s="78">
        <v>17</v>
      </c>
      <c r="X11" s="78">
        <v>18</v>
      </c>
      <c r="Y11" s="78">
        <v>19</v>
      </c>
      <c r="Z11" s="78">
        <v>20</v>
      </c>
      <c r="AA11" s="78">
        <v>21</v>
      </c>
      <c r="AB11" s="78">
        <v>22</v>
      </c>
      <c r="AC11" s="78">
        <v>23</v>
      </c>
      <c r="AD11" s="78">
        <v>24</v>
      </c>
      <c r="AE11" s="78">
        <v>25</v>
      </c>
      <c r="AF11" s="78">
        <v>26</v>
      </c>
      <c r="AG11" s="74">
        <v>27</v>
      </c>
      <c r="AH11" s="75">
        <v>28</v>
      </c>
      <c r="AI11" s="96">
        <v>29</v>
      </c>
      <c r="AJ11" s="91">
        <v>30</v>
      </c>
      <c r="AK11" s="96">
        <v>31</v>
      </c>
      <c r="AL11" s="96">
        <v>32</v>
      </c>
      <c r="AM11" s="99">
        <v>33</v>
      </c>
      <c r="AN11" s="99">
        <v>34</v>
      </c>
      <c r="AO11" s="100">
        <v>35</v>
      </c>
      <c r="AP11" s="114">
        <v>42</v>
      </c>
      <c r="AQ11" s="101">
        <v>47</v>
      </c>
    </row>
    <row r="12" spans="1:171" s="49" customFormat="1" ht="28.9" x14ac:dyDescent="0.3">
      <c r="A12" s="59" t="s">
        <v>10</v>
      </c>
      <c r="B12" s="60" t="s">
        <v>11</v>
      </c>
      <c r="C12" s="201" t="s">
        <v>31</v>
      </c>
      <c r="D12" s="202"/>
      <c r="E12" s="203"/>
      <c r="F12" s="50" t="s">
        <v>31</v>
      </c>
      <c r="G12" s="50" t="s">
        <v>52</v>
      </c>
      <c r="H12" s="61" t="s">
        <v>70</v>
      </c>
      <c r="I12" s="51" t="s">
        <v>76</v>
      </c>
      <c r="J12" s="51" t="s">
        <v>75</v>
      </c>
      <c r="K12" s="62" t="s">
        <v>12</v>
      </c>
      <c r="L12" s="63" t="s">
        <v>13</v>
      </c>
      <c r="M12" s="64" t="s">
        <v>98</v>
      </c>
      <c r="N12" s="64" t="s">
        <v>16</v>
      </c>
      <c r="O12" s="64" t="s">
        <v>72</v>
      </c>
      <c r="P12" s="64" t="s">
        <v>14</v>
      </c>
      <c r="Q12" s="52" t="s">
        <v>35</v>
      </c>
      <c r="R12" s="53" t="s">
        <v>36</v>
      </c>
      <c r="S12" s="52" t="s">
        <v>55</v>
      </c>
      <c r="T12" s="53" t="s">
        <v>37</v>
      </c>
      <c r="U12" s="53" t="s">
        <v>56</v>
      </c>
      <c r="V12" s="53" t="s">
        <v>38</v>
      </c>
      <c r="W12" s="53" t="s">
        <v>39</v>
      </c>
      <c r="X12" s="53" t="s">
        <v>40</v>
      </c>
      <c r="Y12" s="54" t="s">
        <v>54</v>
      </c>
      <c r="Z12" s="54" t="s">
        <v>53</v>
      </c>
      <c r="AA12" s="53" t="s">
        <v>41</v>
      </c>
      <c r="AB12" s="53" t="s">
        <v>42</v>
      </c>
      <c r="AC12" s="53" t="s">
        <v>43</v>
      </c>
      <c r="AD12" s="55" t="s">
        <v>44</v>
      </c>
      <c r="AE12" s="171" t="s">
        <v>402</v>
      </c>
      <c r="AF12" s="56" t="s">
        <v>45</v>
      </c>
      <c r="AG12" s="65" t="s">
        <v>19</v>
      </c>
      <c r="AH12" s="66" t="s">
        <v>20</v>
      </c>
      <c r="AI12" s="54" t="s">
        <v>47</v>
      </c>
      <c r="AJ12" s="53" t="s">
        <v>48</v>
      </c>
      <c r="AK12" s="54" t="s">
        <v>49</v>
      </c>
      <c r="AL12" s="54" t="s">
        <v>50</v>
      </c>
      <c r="AM12" s="53" t="s">
        <v>51</v>
      </c>
      <c r="AN12" s="57" t="s">
        <v>66</v>
      </c>
      <c r="AO12" s="58" t="s">
        <v>15</v>
      </c>
      <c r="AP12" s="58" t="s">
        <v>99</v>
      </c>
      <c r="AQ12" s="58" t="s">
        <v>17</v>
      </c>
      <c r="AR12" s="169" t="s">
        <v>267</v>
      </c>
      <c r="AS12" s="169" t="s">
        <v>268</v>
      </c>
      <c r="AT12" s="169" t="s">
        <v>269</v>
      </c>
      <c r="AU12" s="169" t="s">
        <v>270</v>
      </c>
      <c r="AV12" s="169" t="s">
        <v>271</v>
      </c>
      <c r="AW12" s="169" t="s">
        <v>272</v>
      </c>
      <c r="AX12" s="169" t="s">
        <v>273</v>
      </c>
      <c r="AY12" s="169" t="s">
        <v>274</v>
      </c>
      <c r="AZ12" s="169" t="s">
        <v>275</v>
      </c>
      <c r="BA12" s="169" t="s">
        <v>276</v>
      </c>
      <c r="BB12" s="169" t="s">
        <v>277</v>
      </c>
      <c r="BC12" s="169" t="s">
        <v>278</v>
      </c>
      <c r="BD12" s="169" t="s">
        <v>279</v>
      </c>
      <c r="BE12" s="169" t="s">
        <v>280</v>
      </c>
      <c r="BF12" s="169" t="s">
        <v>281</v>
      </c>
      <c r="BG12" s="169" t="s">
        <v>282</v>
      </c>
      <c r="BH12" s="169" t="s">
        <v>283</v>
      </c>
      <c r="BI12" s="169" t="s">
        <v>284</v>
      </c>
      <c r="BJ12" s="169" t="s">
        <v>285</v>
      </c>
      <c r="BK12" s="169" t="s">
        <v>286</v>
      </c>
      <c r="BL12" s="169" t="s">
        <v>287</v>
      </c>
      <c r="BM12" s="169" t="s">
        <v>288</v>
      </c>
      <c r="BN12" s="169" t="s">
        <v>289</v>
      </c>
      <c r="BO12" s="169" t="s">
        <v>290</v>
      </c>
      <c r="BP12" s="169" t="s">
        <v>291</v>
      </c>
      <c r="BQ12" s="169" t="s">
        <v>292</v>
      </c>
      <c r="BR12" s="169" t="s">
        <v>293</v>
      </c>
      <c r="BS12" s="169" t="s">
        <v>294</v>
      </c>
      <c r="BT12" s="169" t="s">
        <v>295</v>
      </c>
      <c r="BU12" s="169" t="s">
        <v>296</v>
      </c>
      <c r="BV12" s="169" t="s">
        <v>297</v>
      </c>
      <c r="BW12" s="169" t="s">
        <v>298</v>
      </c>
      <c r="BX12" s="169" t="s">
        <v>299</v>
      </c>
      <c r="BY12" s="169" t="s">
        <v>300</v>
      </c>
      <c r="BZ12" s="169" t="s">
        <v>301</v>
      </c>
      <c r="CA12" s="169" t="s">
        <v>302</v>
      </c>
      <c r="CB12" s="169" t="s">
        <v>303</v>
      </c>
      <c r="CC12" s="169" t="s">
        <v>304</v>
      </c>
      <c r="CD12" s="169" t="s">
        <v>305</v>
      </c>
      <c r="CE12" s="169" t="s">
        <v>306</v>
      </c>
      <c r="CF12" s="169" t="s">
        <v>307</v>
      </c>
      <c r="CG12" s="169" t="s">
        <v>308</v>
      </c>
      <c r="CH12" s="169" t="s">
        <v>309</v>
      </c>
      <c r="CI12" s="169" t="s">
        <v>310</v>
      </c>
      <c r="CJ12" s="169" t="s">
        <v>311</v>
      </c>
      <c r="CK12" s="169" t="s">
        <v>312</v>
      </c>
      <c r="CL12" s="169" t="s">
        <v>313</v>
      </c>
      <c r="CM12" s="169" t="s">
        <v>314</v>
      </c>
      <c r="CN12" s="169" t="s">
        <v>315</v>
      </c>
      <c r="CO12" s="169" t="s">
        <v>316</v>
      </c>
      <c r="CP12" s="169" t="s">
        <v>317</v>
      </c>
      <c r="CQ12" s="169" t="s">
        <v>318</v>
      </c>
      <c r="CR12" s="169" t="s">
        <v>319</v>
      </c>
      <c r="CS12" s="169" t="s">
        <v>320</v>
      </c>
      <c r="CT12" s="169" t="s">
        <v>321</v>
      </c>
      <c r="CU12" s="169" t="s">
        <v>322</v>
      </c>
      <c r="CV12" s="169" t="s">
        <v>323</v>
      </c>
      <c r="CW12" s="169" t="s">
        <v>324</v>
      </c>
      <c r="CX12" s="169" t="s">
        <v>325</v>
      </c>
      <c r="CY12" s="169" t="s">
        <v>326</v>
      </c>
      <c r="CZ12" s="169" t="s">
        <v>327</v>
      </c>
      <c r="DA12" s="169" t="s">
        <v>328</v>
      </c>
      <c r="DB12" s="169" t="s">
        <v>329</v>
      </c>
      <c r="DC12" s="169" t="s">
        <v>330</v>
      </c>
      <c r="DD12" s="169" t="s">
        <v>331</v>
      </c>
      <c r="DE12" s="169" t="s">
        <v>332</v>
      </c>
      <c r="DF12" s="169" t="s">
        <v>333</v>
      </c>
      <c r="DG12" s="169" t="s">
        <v>334</v>
      </c>
      <c r="DH12" s="169" t="s">
        <v>335</v>
      </c>
      <c r="DI12" s="169" t="s">
        <v>336</v>
      </c>
      <c r="DJ12" s="169" t="s">
        <v>337</v>
      </c>
      <c r="DK12" s="169" t="s">
        <v>338</v>
      </c>
      <c r="DL12" s="169" t="s">
        <v>339</v>
      </c>
      <c r="DM12" s="169" t="s">
        <v>340</v>
      </c>
      <c r="DN12" s="169" t="s">
        <v>341</v>
      </c>
      <c r="DO12" s="169" t="s">
        <v>342</v>
      </c>
      <c r="DP12" s="169" t="s">
        <v>343</v>
      </c>
      <c r="DQ12" s="169" t="s">
        <v>344</v>
      </c>
      <c r="DR12" s="169" t="s">
        <v>345</v>
      </c>
      <c r="DS12" s="169" t="s">
        <v>346</v>
      </c>
      <c r="DT12" s="169" t="s">
        <v>347</v>
      </c>
      <c r="DU12" s="169" t="s">
        <v>348</v>
      </c>
      <c r="DV12" s="169" t="s">
        <v>349</v>
      </c>
      <c r="DW12" s="169" t="s">
        <v>350</v>
      </c>
      <c r="DX12" s="169" t="s">
        <v>351</v>
      </c>
      <c r="DY12" s="169" t="s">
        <v>352</v>
      </c>
      <c r="DZ12" s="169" t="s">
        <v>353</v>
      </c>
      <c r="EA12" s="169" t="s">
        <v>354</v>
      </c>
      <c r="EB12" s="169" t="s">
        <v>355</v>
      </c>
      <c r="EC12" s="169" t="s">
        <v>356</v>
      </c>
      <c r="ED12" s="169" t="s">
        <v>357</v>
      </c>
      <c r="EE12" s="169" t="s">
        <v>358</v>
      </c>
      <c r="EF12" s="169" t="s">
        <v>359</v>
      </c>
      <c r="EG12" s="169" t="s">
        <v>360</v>
      </c>
      <c r="EH12" s="169" t="s">
        <v>361</v>
      </c>
      <c r="EI12" s="169" t="s">
        <v>362</v>
      </c>
      <c r="EJ12" s="169" t="s">
        <v>363</v>
      </c>
      <c r="EK12" s="169" t="s">
        <v>364</v>
      </c>
      <c r="EL12" s="169" t="s">
        <v>365</v>
      </c>
      <c r="EM12" s="169" t="s">
        <v>366</v>
      </c>
      <c r="EN12" s="169" t="s">
        <v>367</v>
      </c>
      <c r="EO12" s="169" t="s">
        <v>368</v>
      </c>
      <c r="EP12" s="169" t="s">
        <v>369</v>
      </c>
      <c r="EQ12" s="169" t="s">
        <v>370</v>
      </c>
      <c r="ER12" s="169" t="s">
        <v>371</v>
      </c>
      <c r="ES12" s="169" t="s">
        <v>372</v>
      </c>
      <c r="ET12" s="169" t="s">
        <v>373</v>
      </c>
      <c r="EU12" s="169" t="s">
        <v>374</v>
      </c>
      <c r="EV12" s="169" t="s">
        <v>375</v>
      </c>
      <c r="EW12" s="169" t="s">
        <v>376</v>
      </c>
      <c r="EX12" s="169" t="s">
        <v>377</v>
      </c>
      <c r="EY12" s="169" t="s">
        <v>378</v>
      </c>
      <c r="EZ12" s="169" t="s">
        <v>379</v>
      </c>
      <c r="FA12" s="169" t="s">
        <v>380</v>
      </c>
      <c r="FB12" s="169" t="s">
        <v>381</v>
      </c>
      <c r="FC12" s="169" t="s">
        <v>382</v>
      </c>
      <c r="FD12" s="169" t="s">
        <v>383</v>
      </c>
      <c r="FE12" s="169" t="s">
        <v>384</v>
      </c>
      <c r="FF12" s="169" t="s">
        <v>385</v>
      </c>
      <c r="FG12" s="169" t="s">
        <v>386</v>
      </c>
      <c r="FH12" s="169" t="s">
        <v>387</v>
      </c>
      <c r="FI12" s="169" t="s">
        <v>388</v>
      </c>
      <c r="FJ12" s="169" t="s">
        <v>389</v>
      </c>
      <c r="FK12" s="169" t="s">
        <v>390</v>
      </c>
      <c r="FL12" s="169" t="s">
        <v>391</v>
      </c>
      <c r="FM12" s="169" t="s">
        <v>392</v>
      </c>
      <c r="FN12" s="169" t="s">
        <v>393</v>
      </c>
      <c r="FO12" s="169" t="s">
        <v>394</v>
      </c>
    </row>
    <row r="13" spans="1:171" s="142" customFormat="1" ht="43.9" thickBot="1" x14ac:dyDescent="0.35">
      <c r="A13" s="128" t="s">
        <v>21</v>
      </c>
      <c r="B13" s="129" t="s">
        <v>22</v>
      </c>
      <c r="C13" s="129" t="s">
        <v>73</v>
      </c>
      <c r="D13" s="129" t="s">
        <v>74</v>
      </c>
      <c r="E13" s="129" t="s">
        <v>427</v>
      </c>
      <c r="F13" s="130" t="s">
        <v>22</v>
      </c>
      <c r="G13" s="130" t="s">
        <v>22</v>
      </c>
      <c r="H13" s="131" t="s">
        <v>22</v>
      </c>
      <c r="I13" s="129" t="s">
        <v>22</v>
      </c>
      <c r="J13" s="129" t="s">
        <v>22</v>
      </c>
      <c r="K13" s="132" t="s">
        <v>22</v>
      </c>
      <c r="L13" s="133" t="s">
        <v>22</v>
      </c>
      <c r="M13" s="134" t="s">
        <v>28</v>
      </c>
      <c r="N13" s="134" t="s">
        <v>24</v>
      </c>
      <c r="O13" s="134" t="s">
        <v>27</v>
      </c>
      <c r="P13" s="134" t="s">
        <v>23</v>
      </c>
      <c r="Q13" s="134" t="s">
        <v>100</v>
      </c>
      <c r="R13" s="134" t="s">
        <v>101</v>
      </c>
      <c r="S13" s="134" t="s">
        <v>102</v>
      </c>
      <c r="T13" s="134" t="s">
        <v>103</v>
      </c>
      <c r="U13" s="134" t="s">
        <v>104</v>
      </c>
      <c r="V13" s="134" t="s">
        <v>105</v>
      </c>
      <c r="W13" s="134" t="s">
        <v>106</v>
      </c>
      <c r="X13" s="134" t="s">
        <v>107</v>
      </c>
      <c r="Y13" s="134" t="s">
        <v>108</v>
      </c>
      <c r="Z13" s="134" t="s">
        <v>109</v>
      </c>
      <c r="AA13" s="134" t="s">
        <v>110</v>
      </c>
      <c r="AB13" s="134" t="s">
        <v>111</v>
      </c>
      <c r="AC13" s="134" t="s">
        <v>112</v>
      </c>
      <c r="AD13" s="135" t="s">
        <v>113</v>
      </c>
      <c r="AE13" s="134" t="s">
        <v>114</v>
      </c>
      <c r="AF13" s="136" t="s">
        <v>115</v>
      </c>
      <c r="AG13" s="137" t="s">
        <v>26</v>
      </c>
      <c r="AH13" s="138" t="s">
        <v>26</v>
      </c>
      <c r="AI13" s="139" t="s">
        <v>116</v>
      </c>
      <c r="AJ13" s="134" t="s">
        <v>117</v>
      </c>
      <c r="AK13" s="139" t="s">
        <v>118</v>
      </c>
      <c r="AL13" s="139" t="s">
        <v>119</v>
      </c>
      <c r="AM13" s="134" t="s">
        <v>120</v>
      </c>
      <c r="AN13" s="140" t="s">
        <v>121</v>
      </c>
      <c r="AO13" s="141" t="s">
        <v>23</v>
      </c>
      <c r="AP13" s="141" t="s">
        <v>26</v>
      </c>
      <c r="AQ13" s="141" t="s">
        <v>26</v>
      </c>
      <c r="AR13" s="93" t="s">
        <v>32</v>
      </c>
      <c r="AS13" s="93" t="s">
        <v>142</v>
      </c>
      <c r="AT13" s="93" t="s">
        <v>33</v>
      </c>
      <c r="AU13" s="93" t="s">
        <v>34</v>
      </c>
      <c r="AV13" s="93" t="s">
        <v>143</v>
      </c>
      <c r="AW13" s="93" t="s">
        <v>144</v>
      </c>
      <c r="AX13" s="93" t="s">
        <v>145</v>
      </c>
      <c r="AY13" s="93" t="s">
        <v>146</v>
      </c>
      <c r="AZ13" s="93" t="s">
        <v>147</v>
      </c>
      <c r="BA13" s="93" t="s">
        <v>148</v>
      </c>
      <c r="BB13" s="93" t="s">
        <v>149</v>
      </c>
      <c r="BC13" s="93" t="s">
        <v>150</v>
      </c>
      <c r="BD13" s="93" t="s">
        <v>151</v>
      </c>
      <c r="BE13" s="93" t="s">
        <v>152</v>
      </c>
      <c r="BF13" s="93" t="s">
        <v>153</v>
      </c>
      <c r="BG13" s="93" t="s">
        <v>154</v>
      </c>
      <c r="BH13" s="93" t="s">
        <v>155</v>
      </c>
      <c r="BI13" s="93" t="s">
        <v>156</v>
      </c>
      <c r="BJ13" s="93" t="s">
        <v>157</v>
      </c>
      <c r="BK13" s="93" t="s">
        <v>158</v>
      </c>
      <c r="BL13" s="93" t="s">
        <v>159</v>
      </c>
      <c r="BM13" s="93" t="s">
        <v>160</v>
      </c>
      <c r="BN13" s="93" t="s">
        <v>161</v>
      </c>
      <c r="BO13" s="93" t="s">
        <v>162</v>
      </c>
      <c r="BP13" s="93" t="s">
        <v>163</v>
      </c>
      <c r="BQ13" s="93" t="s">
        <v>164</v>
      </c>
      <c r="BR13" s="93" t="s">
        <v>165</v>
      </c>
      <c r="BS13" s="93" t="s">
        <v>166</v>
      </c>
      <c r="BT13" s="93" t="s">
        <v>167</v>
      </c>
      <c r="BU13" s="93" t="s">
        <v>168</v>
      </c>
      <c r="BV13" s="93" t="s">
        <v>169</v>
      </c>
      <c r="BW13" s="93" t="s">
        <v>170</v>
      </c>
      <c r="BX13" s="93" t="s">
        <v>171</v>
      </c>
      <c r="BY13" s="93" t="s">
        <v>172</v>
      </c>
      <c r="BZ13" s="93" t="s">
        <v>173</v>
      </c>
      <c r="CA13" s="93" t="s">
        <v>174</v>
      </c>
      <c r="CB13" s="93" t="s">
        <v>175</v>
      </c>
      <c r="CC13" s="93" t="s">
        <v>176</v>
      </c>
      <c r="CD13" s="93" t="s">
        <v>177</v>
      </c>
      <c r="CE13" s="93" t="s">
        <v>178</v>
      </c>
      <c r="CF13" s="93" t="s">
        <v>179</v>
      </c>
      <c r="CG13" s="93" t="s">
        <v>180</v>
      </c>
      <c r="CH13" s="93" t="s">
        <v>181</v>
      </c>
      <c r="CI13" s="93" t="s">
        <v>182</v>
      </c>
      <c r="CJ13" s="93" t="s">
        <v>183</v>
      </c>
      <c r="CK13" s="93" t="s">
        <v>184</v>
      </c>
      <c r="CL13" s="93" t="s">
        <v>185</v>
      </c>
      <c r="CM13" s="93" t="s">
        <v>186</v>
      </c>
      <c r="CN13" s="93" t="s">
        <v>187</v>
      </c>
      <c r="CO13" s="93" t="s">
        <v>188</v>
      </c>
      <c r="CP13" s="93" t="s">
        <v>189</v>
      </c>
      <c r="CQ13" s="93" t="s">
        <v>190</v>
      </c>
      <c r="CR13" s="93" t="s">
        <v>191</v>
      </c>
      <c r="CS13" s="93" t="s">
        <v>192</v>
      </c>
      <c r="CT13" s="93" t="s">
        <v>193</v>
      </c>
      <c r="CU13" s="93" t="s">
        <v>194</v>
      </c>
      <c r="CV13" s="93" t="s">
        <v>195</v>
      </c>
      <c r="CW13" s="93" t="s">
        <v>196</v>
      </c>
      <c r="CX13" s="93" t="s">
        <v>197</v>
      </c>
      <c r="CY13" s="93" t="s">
        <v>198</v>
      </c>
      <c r="CZ13" s="93" t="s">
        <v>199</v>
      </c>
      <c r="DA13" s="93" t="s">
        <v>200</v>
      </c>
      <c r="DB13" s="93" t="s">
        <v>201</v>
      </c>
      <c r="DC13" s="93" t="s">
        <v>202</v>
      </c>
      <c r="DD13" s="93" t="s">
        <v>203</v>
      </c>
      <c r="DE13" s="93" t="s">
        <v>204</v>
      </c>
      <c r="DF13" s="93" t="s">
        <v>205</v>
      </c>
      <c r="DG13" s="93" t="s">
        <v>206</v>
      </c>
      <c r="DH13" s="93" t="s">
        <v>207</v>
      </c>
      <c r="DI13" s="93" t="s">
        <v>208</v>
      </c>
      <c r="DJ13" s="93" t="s">
        <v>209</v>
      </c>
      <c r="DK13" s="93" t="s">
        <v>210</v>
      </c>
      <c r="DL13" s="93" t="s">
        <v>211</v>
      </c>
      <c r="DM13" s="93" t="s">
        <v>212</v>
      </c>
      <c r="DN13" s="93" t="s">
        <v>213</v>
      </c>
      <c r="DO13" s="93" t="s">
        <v>214</v>
      </c>
      <c r="DP13" s="93" t="s">
        <v>215</v>
      </c>
      <c r="DQ13" s="93" t="s">
        <v>216</v>
      </c>
      <c r="DR13" s="93" t="s">
        <v>217</v>
      </c>
      <c r="DS13" s="93" t="s">
        <v>218</v>
      </c>
      <c r="DT13" s="93" t="s">
        <v>219</v>
      </c>
      <c r="DU13" s="93" t="s">
        <v>220</v>
      </c>
      <c r="DV13" s="93" t="s">
        <v>221</v>
      </c>
      <c r="DW13" s="93" t="s">
        <v>222</v>
      </c>
      <c r="DX13" s="93" t="s">
        <v>223</v>
      </c>
      <c r="DY13" s="93" t="s">
        <v>224</v>
      </c>
      <c r="DZ13" s="93" t="s">
        <v>225</v>
      </c>
      <c r="EA13" s="93" t="s">
        <v>226</v>
      </c>
      <c r="EB13" s="93" t="s">
        <v>227</v>
      </c>
      <c r="EC13" s="93" t="s">
        <v>228</v>
      </c>
      <c r="ED13" s="93" t="s">
        <v>229</v>
      </c>
      <c r="EE13" s="93" t="s">
        <v>230</v>
      </c>
      <c r="EF13" s="93" t="s">
        <v>231</v>
      </c>
      <c r="EG13" s="93" t="s">
        <v>232</v>
      </c>
      <c r="EH13" s="93" t="s">
        <v>233</v>
      </c>
      <c r="EI13" s="93" t="s">
        <v>234</v>
      </c>
      <c r="EJ13" s="93" t="s">
        <v>235</v>
      </c>
      <c r="EK13" s="93" t="s">
        <v>236</v>
      </c>
      <c r="EL13" s="93" t="s">
        <v>237</v>
      </c>
      <c r="EM13" s="93" t="s">
        <v>238</v>
      </c>
      <c r="EN13" s="93" t="s">
        <v>239</v>
      </c>
      <c r="EO13" s="93" t="s">
        <v>240</v>
      </c>
      <c r="EP13" s="93" t="s">
        <v>241</v>
      </c>
      <c r="EQ13" s="93" t="s">
        <v>242</v>
      </c>
      <c r="ER13" s="93" t="s">
        <v>243</v>
      </c>
      <c r="ES13" s="93" t="s">
        <v>244</v>
      </c>
      <c r="ET13" s="93" t="s">
        <v>245</v>
      </c>
      <c r="EU13" s="93" t="s">
        <v>246</v>
      </c>
      <c r="EV13" s="93" t="s">
        <v>247</v>
      </c>
      <c r="EW13" s="93" t="s">
        <v>248</v>
      </c>
      <c r="EX13" s="93" t="s">
        <v>249</v>
      </c>
      <c r="EY13" s="93" t="s">
        <v>250</v>
      </c>
      <c r="EZ13" s="93" t="s">
        <v>251</v>
      </c>
      <c r="FA13" s="93" t="s">
        <v>252</v>
      </c>
      <c r="FB13" s="93" t="s">
        <v>253</v>
      </c>
      <c r="FC13" s="93" t="s">
        <v>254</v>
      </c>
      <c r="FD13" s="93" t="s">
        <v>255</v>
      </c>
      <c r="FE13" s="93" t="s">
        <v>256</v>
      </c>
      <c r="FF13" s="93" t="s">
        <v>257</v>
      </c>
      <c r="FG13" s="93" t="s">
        <v>258</v>
      </c>
      <c r="FH13" s="93" t="s">
        <v>259</v>
      </c>
      <c r="FI13" s="93" t="s">
        <v>260</v>
      </c>
      <c r="FJ13" s="93" t="s">
        <v>261</v>
      </c>
      <c r="FK13" s="93" t="s">
        <v>262</v>
      </c>
      <c r="FL13" s="93" t="s">
        <v>263</v>
      </c>
      <c r="FM13" s="93" t="s">
        <v>264</v>
      </c>
      <c r="FN13" s="93" t="s">
        <v>265</v>
      </c>
      <c r="FO13" s="93" t="s">
        <v>266</v>
      </c>
    </row>
    <row r="14" spans="1:171" s="102" customFormat="1" ht="14.45" x14ac:dyDescent="0.3">
      <c r="A14" s="70" t="s">
        <v>29</v>
      </c>
      <c r="B14" s="98" t="str">
        <f>CONCATENATE("INN3", IF(ISBLANK(H14),"x",H14), I14, J14, "C-",INDEX(C14:E14,B$4))</f>
        <v>INN3365C-H301</v>
      </c>
      <c r="C14" s="71" t="s">
        <v>129</v>
      </c>
      <c r="D14" s="71"/>
      <c r="E14" s="71" t="s">
        <v>434</v>
      </c>
      <c r="F14" s="77"/>
      <c r="G14" s="77"/>
      <c r="H14" s="77" t="s">
        <v>34</v>
      </c>
      <c r="I14" s="122">
        <v>6</v>
      </c>
      <c r="J14" s="122">
        <v>5</v>
      </c>
      <c r="K14" s="72">
        <v>5</v>
      </c>
      <c r="L14" s="73">
        <v>5</v>
      </c>
      <c r="M14" s="78">
        <v>115</v>
      </c>
      <c r="N14" s="104">
        <v>950</v>
      </c>
      <c r="O14" s="78">
        <v>9.1</v>
      </c>
      <c r="P14" s="104">
        <v>25</v>
      </c>
      <c r="Q14" s="104">
        <v>0</v>
      </c>
      <c r="R14" s="104">
        <v>0</v>
      </c>
      <c r="S14" s="104">
        <v>0</v>
      </c>
      <c r="T14" s="104">
        <v>0</v>
      </c>
      <c r="U14" s="104">
        <v>0</v>
      </c>
      <c r="V14" s="104">
        <v>0</v>
      </c>
      <c r="W14" s="104">
        <v>0</v>
      </c>
      <c r="X14" s="104">
        <v>0</v>
      </c>
      <c r="Y14" s="104">
        <v>0</v>
      </c>
      <c r="Z14" s="104">
        <v>0</v>
      </c>
      <c r="AA14" s="104">
        <v>0</v>
      </c>
      <c r="AB14" s="104">
        <v>0</v>
      </c>
      <c r="AC14" s="104">
        <v>1</v>
      </c>
      <c r="AD14" s="105" t="s">
        <v>32</v>
      </c>
      <c r="AE14" s="104">
        <v>1</v>
      </c>
      <c r="AF14" s="107">
        <v>0</v>
      </c>
      <c r="AG14" s="74">
        <v>675</v>
      </c>
      <c r="AH14" s="75">
        <v>630</v>
      </c>
      <c r="AI14" s="104">
        <v>6</v>
      </c>
      <c r="AJ14" s="104">
        <v>0</v>
      </c>
      <c r="AK14" s="104">
        <v>10</v>
      </c>
      <c r="AL14" s="104">
        <v>6</v>
      </c>
      <c r="AM14" s="104">
        <v>0</v>
      </c>
      <c r="AN14" s="104">
        <v>0</v>
      </c>
      <c r="AO14" s="106">
        <v>132</v>
      </c>
      <c r="AP14" s="114">
        <v>3.2000000000000001E-2</v>
      </c>
      <c r="AQ14" s="79">
        <v>5</v>
      </c>
      <c r="AR14" s="103">
        <v>0</v>
      </c>
      <c r="AS14" s="103">
        <v>0</v>
      </c>
      <c r="AT14" s="103">
        <v>0</v>
      </c>
      <c r="AU14" s="103">
        <v>0</v>
      </c>
      <c r="AV14" s="103">
        <v>0</v>
      </c>
      <c r="AW14" s="103">
        <v>0</v>
      </c>
      <c r="AX14" s="103">
        <v>0</v>
      </c>
      <c r="AY14" s="103">
        <v>0</v>
      </c>
      <c r="AZ14" s="103">
        <v>0</v>
      </c>
      <c r="BA14" s="103">
        <v>0</v>
      </c>
      <c r="BB14" s="103">
        <v>0</v>
      </c>
      <c r="BC14" s="103">
        <v>0</v>
      </c>
      <c r="BD14" s="103">
        <v>0</v>
      </c>
      <c r="BE14" s="103">
        <v>0</v>
      </c>
      <c r="BF14" s="103">
        <v>0</v>
      </c>
      <c r="BG14" s="103">
        <v>0</v>
      </c>
      <c r="BH14" s="103">
        <v>0</v>
      </c>
      <c r="BI14" s="103">
        <v>0</v>
      </c>
      <c r="BJ14" s="103">
        <v>0</v>
      </c>
      <c r="BK14" s="103">
        <v>0</v>
      </c>
      <c r="BL14" s="103">
        <v>0</v>
      </c>
      <c r="BM14" s="103">
        <v>0</v>
      </c>
      <c r="BN14" s="103">
        <v>0</v>
      </c>
      <c r="BO14" s="103">
        <v>1</v>
      </c>
      <c r="BP14" s="103">
        <v>0</v>
      </c>
      <c r="BQ14" s="103">
        <v>0</v>
      </c>
      <c r="BR14" s="103">
        <v>0</v>
      </c>
      <c r="BS14" s="103">
        <v>1</v>
      </c>
      <c r="BT14" s="103">
        <v>0</v>
      </c>
      <c r="BU14" s="103">
        <v>0</v>
      </c>
      <c r="BV14" s="103">
        <v>0</v>
      </c>
      <c r="BW14" s="103">
        <v>0</v>
      </c>
      <c r="BX14" s="103">
        <v>0</v>
      </c>
      <c r="BY14" s="103">
        <v>0</v>
      </c>
      <c r="BZ14" s="103">
        <v>0</v>
      </c>
      <c r="CA14" s="103">
        <v>0</v>
      </c>
      <c r="CB14" s="103">
        <v>0</v>
      </c>
      <c r="CC14" s="103">
        <v>0</v>
      </c>
      <c r="CD14" s="103">
        <v>1</v>
      </c>
      <c r="CE14" s="103">
        <v>0</v>
      </c>
      <c r="CF14" s="103">
        <v>0</v>
      </c>
      <c r="CG14" s="103">
        <v>0</v>
      </c>
      <c r="CH14" s="103">
        <v>0</v>
      </c>
      <c r="CI14" s="103">
        <v>0</v>
      </c>
      <c r="CJ14" s="103">
        <v>0</v>
      </c>
      <c r="CK14" s="103">
        <v>0</v>
      </c>
      <c r="CL14" s="103">
        <v>0</v>
      </c>
      <c r="CM14" s="103">
        <v>0</v>
      </c>
      <c r="CN14" s="103">
        <v>0</v>
      </c>
      <c r="CO14" s="103">
        <v>0</v>
      </c>
      <c r="CP14" s="103">
        <v>0</v>
      </c>
      <c r="CQ14" s="103">
        <v>0</v>
      </c>
      <c r="CR14" s="103">
        <v>0</v>
      </c>
      <c r="CS14" s="103">
        <v>0</v>
      </c>
      <c r="CT14" s="103">
        <v>0</v>
      </c>
      <c r="CU14" s="103">
        <v>1</v>
      </c>
      <c r="CV14" s="103">
        <v>0</v>
      </c>
      <c r="CW14" s="103">
        <v>0</v>
      </c>
      <c r="CX14" s="103">
        <v>0</v>
      </c>
      <c r="CY14" s="103">
        <v>0</v>
      </c>
      <c r="CZ14" s="103">
        <v>0</v>
      </c>
      <c r="DA14" s="103">
        <v>0</v>
      </c>
      <c r="DB14" s="103">
        <v>0</v>
      </c>
      <c r="DC14" s="103">
        <v>1</v>
      </c>
      <c r="DD14" s="103">
        <v>0</v>
      </c>
      <c r="DE14" s="103">
        <v>0</v>
      </c>
      <c r="DF14" s="103">
        <v>0</v>
      </c>
      <c r="DG14" s="103">
        <v>0</v>
      </c>
      <c r="DH14" s="103">
        <v>0</v>
      </c>
      <c r="DI14" s="103">
        <v>0</v>
      </c>
      <c r="DJ14" s="103">
        <v>0</v>
      </c>
      <c r="DK14" s="103">
        <v>0</v>
      </c>
      <c r="DL14" s="103">
        <v>0</v>
      </c>
      <c r="DM14" s="103">
        <v>0</v>
      </c>
      <c r="DN14" s="103">
        <v>0</v>
      </c>
      <c r="DO14" s="103">
        <v>0</v>
      </c>
      <c r="DP14" s="103">
        <v>1</v>
      </c>
      <c r="DQ14" s="103">
        <v>0</v>
      </c>
      <c r="DR14" s="103">
        <v>0</v>
      </c>
      <c r="DS14" s="103">
        <v>0</v>
      </c>
      <c r="DT14" s="103">
        <v>0</v>
      </c>
      <c r="DU14" s="103">
        <v>0</v>
      </c>
      <c r="DV14" s="103">
        <v>0</v>
      </c>
      <c r="DW14" s="103">
        <v>0</v>
      </c>
      <c r="DX14" s="103">
        <v>0</v>
      </c>
      <c r="DY14" s="103">
        <v>0</v>
      </c>
      <c r="DZ14" s="103">
        <v>0</v>
      </c>
      <c r="EA14" s="103">
        <v>0</v>
      </c>
      <c r="EB14" s="103">
        <v>0</v>
      </c>
      <c r="EC14" s="103">
        <v>0</v>
      </c>
      <c r="ED14" s="103">
        <v>0</v>
      </c>
      <c r="EE14" s="103">
        <v>0</v>
      </c>
      <c r="EF14" s="103">
        <v>0</v>
      </c>
      <c r="EG14" s="103">
        <v>0</v>
      </c>
      <c r="EH14" s="103">
        <v>0</v>
      </c>
      <c r="EI14" s="103">
        <v>0</v>
      </c>
      <c r="EJ14" s="103">
        <v>0</v>
      </c>
      <c r="EK14" s="103">
        <v>0</v>
      </c>
      <c r="EL14" s="103">
        <v>0</v>
      </c>
      <c r="EM14" s="103">
        <v>0</v>
      </c>
      <c r="EN14" s="103">
        <v>0</v>
      </c>
      <c r="EO14" s="103">
        <v>0</v>
      </c>
      <c r="EP14" s="103">
        <v>0</v>
      </c>
      <c r="EQ14" s="103">
        <v>0</v>
      </c>
      <c r="ER14" s="103">
        <v>1</v>
      </c>
      <c r="ES14" s="103">
        <v>0</v>
      </c>
      <c r="ET14" s="103">
        <v>0</v>
      </c>
      <c r="EU14" s="103">
        <v>0</v>
      </c>
      <c r="EV14" s="103">
        <v>0</v>
      </c>
      <c r="EW14" s="103">
        <v>0</v>
      </c>
      <c r="EX14" s="103">
        <v>0</v>
      </c>
      <c r="EY14" s="103">
        <v>0</v>
      </c>
      <c r="EZ14" s="103">
        <v>0</v>
      </c>
      <c r="FA14" s="103">
        <v>0</v>
      </c>
      <c r="FB14" s="103">
        <v>0</v>
      </c>
      <c r="FC14" s="103">
        <v>0</v>
      </c>
      <c r="FD14" s="103">
        <v>0</v>
      </c>
      <c r="FE14" s="103">
        <v>0</v>
      </c>
      <c r="FF14" s="103">
        <v>0</v>
      </c>
      <c r="FG14" s="103">
        <v>0</v>
      </c>
      <c r="FH14" s="103">
        <v>0</v>
      </c>
      <c r="FI14" s="103">
        <v>0</v>
      </c>
      <c r="FJ14" s="103">
        <v>0</v>
      </c>
      <c r="FK14" s="103">
        <v>0</v>
      </c>
      <c r="FL14" s="103">
        <v>0</v>
      </c>
      <c r="FM14" s="103">
        <v>0</v>
      </c>
      <c r="FN14" s="103">
        <v>0</v>
      </c>
      <c r="FO14" s="103">
        <v>0</v>
      </c>
    </row>
    <row r="15" spans="1:171" s="161" customFormat="1" ht="14.45" x14ac:dyDescent="0.3">
      <c r="A15" s="149" t="s">
        <v>29</v>
      </c>
      <c r="B15" s="98" t="str">
        <f t="shared" ref="B15:B17" si="0">CONCATENATE("INN3", IF(ISBLANK(H15),"x",H15), I15, J15, "C-",INDEX(C15:E15,B$4))</f>
        <v>INN3366C-H301</v>
      </c>
      <c r="C15" s="71" t="s">
        <v>129</v>
      </c>
      <c r="D15" s="150"/>
      <c r="E15" s="170" t="s">
        <v>435</v>
      </c>
      <c r="F15" s="151"/>
      <c r="G15" s="151"/>
      <c r="H15" s="151" t="s">
        <v>34</v>
      </c>
      <c r="I15" s="152">
        <v>6</v>
      </c>
      <c r="J15" s="152">
        <v>6</v>
      </c>
      <c r="K15" s="153">
        <v>6</v>
      </c>
      <c r="L15" s="154">
        <v>6</v>
      </c>
      <c r="M15" s="155">
        <v>115</v>
      </c>
      <c r="N15" s="156">
        <v>1250</v>
      </c>
      <c r="O15" s="78">
        <v>9.1</v>
      </c>
      <c r="P15" s="156">
        <v>25</v>
      </c>
      <c r="Q15" s="156">
        <v>0</v>
      </c>
      <c r="R15" s="156">
        <v>0</v>
      </c>
      <c r="S15" s="156">
        <v>0</v>
      </c>
      <c r="T15" s="156">
        <v>0</v>
      </c>
      <c r="U15" s="156">
        <v>0</v>
      </c>
      <c r="V15" s="156">
        <v>0</v>
      </c>
      <c r="W15" s="156">
        <v>0</v>
      </c>
      <c r="X15" s="156">
        <v>0</v>
      </c>
      <c r="Y15" s="156">
        <v>0</v>
      </c>
      <c r="Z15" s="156">
        <v>0</v>
      </c>
      <c r="AA15" s="156">
        <v>0</v>
      </c>
      <c r="AB15" s="156">
        <v>0</v>
      </c>
      <c r="AC15" s="156">
        <v>1</v>
      </c>
      <c r="AD15" s="157" t="s">
        <v>32</v>
      </c>
      <c r="AE15" s="156">
        <v>1</v>
      </c>
      <c r="AF15" s="158">
        <v>0</v>
      </c>
      <c r="AG15" s="159">
        <v>675</v>
      </c>
      <c r="AH15" s="160">
        <v>630</v>
      </c>
      <c r="AI15" s="156">
        <v>10</v>
      </c>
      <c r="AJ15" s="156">
        <v>0</v>
      </c>
      <c r="AK15" s="156">
        <v>23</v>
      </c>
      <c r="AL15" s="156">
        <v>5</v>
      </c>
      <c r="AM15" s="156">
        <v>0</v>
      </c>
      <c r="AN15" s="156">
        <v>0</v>
      </c>
      <c r="AO15" s="106">
        <v>132</v>
      </c>
      <c r="AP15" s="114">
        <v>3.2000000000000001E-2</v>
      </c>
      <c r="AQ15" s="79">
        <v>5</v>
      </c>
      <c r="AR15" s="103">
        <v>0</v>
      </c>
      <c r="AS15" s="103">
        <v>0</v>
      </c>
      <c r="AT15" s="103">
        <v>0</v>
      </c>
      <c r="AU15" s="103">
        <v>0</v>
      </c>
      <c r="AV15" s="103">
        <v>0</v>
      </c>
      <c r="AW15" s="103">
        <v>0</v>
      </c>
      <c r="AX15" s="103">
        <v>0</v>
      </c>
      <c r="AY15" s="103">
        <v>0</v>
      </c>
      <c r="AZ15" s="103">
        <v>0</v>
      </c>
      <c r="BA15" s="103">
        <v>0</v>
      </c>
      <c r="BB15" s="103">
        <v>0</v>
      </c>
      <c r="BC15" s="103">
        <v>0</v>
      </c>
      <c r="BD15" s="103">
        <v>0</v>
      </c>
      <c r="BE15" s="103">
        <v>0</v>
      </c>
      <c r="BF15" s="103">
        <v>0</v>
      </c>
      <c r="BG15" s="103">
        <v>0</v>
      </c>
      <c r="BH15" s="103">
        <v>0</v>
      </c>
      <c r="BI15" s="103">
        <v>0</v>
      </c>
      <c r="BJ15" s="103">
        <v>0</v>
      </c>
      <c r="BK15" s="103">
        <v>0</v>
      </c>
      <c r="BL15" s="103">
        <v>0</v>
      </c>
      <c r="BM15" s="103">
        <v>0</v>
      </c>
      <c r="BN15" s="103">
        <v>0</v>
      </c>
      <c r="BO15" s="103">
        <v>1</v>
      </c>
      <c r="BP15" s="103">
        <v>0</v>
      </c>
      <c r="BQ15" s="103">
        <v>0</v>
      </c>
      <c r="BR15" s="103">
        <v>0</v>
      </c>
      <c r="BS15" s="103">
        <v>1</v>
      </c>
      <c r="BT15" s="103">
        <v>0</v>
      </c>
      <c r="BU15" s="103">
        <v>0</v>
      </c>
      <c r="BV15" s="103">
        <v>0</v>
      </c>
      <c r="BW15" s="103">
        <v>0</v>
      </c>
      <c r="BX15" s="103">
        <v>0</v>
      </c>
      <c r="BY15" s="103">
        <v>0</v>
      </c>
      <c r="BZ15" s="103">
        <v>0</v>
      </c>
      <c r="CA15" s="103">
        <v>0</v>
      </c>
      <c r="CB15" s="103">
        <v>0</v>
      </c>
      <c r="CC15" s="103">
        <v>0</v>
      </c>
      <c r="CD15" s="103">
        <v>1</v>
      </c>
      <c r="CE15" s="103">
        <v>0</v>
      </c>
      <c r="CF15" s="103">
        <v>0</v>
      </c>
      <c r="CG15" s="103">
        <v>0</v>
      </c>
      <c r="CH15" s="103">
        <v>0</v>
      </c>
      <c r="CI15" s="103">
        <v>0</v>
      </c>
      <c r="CJ15" s="103">
        <v>0</v>
      </c>
      <c r="CK15" s="103">
        <v>0</v>
      </c>
      <c r="CL15" s="103">
        <v>0</v>
      </c>
      <c r="CM15" s="103">
        <v>0</v>
      </c>
      <c r="CN15" s="103">
        <v>0</v>
      </c>
      <c r="CO15" s="103">
        <v>0</v>
      </c>
      <c r="CP15" s="103">
        <v>0</v>
      </c>
      <c r="CQ15" s="103">
        <v>0</v>
      </c>
      <c r="CR15" s="103">
        <v>0</v>
      </c>
      <c r="CS15" s="103">
        <v>0</v>
      </c>
      <c r="CT15" s="103">
        <v>0</v>
      </c>
      <c r="CU15" s="103">
        <v>1</v>
      </c>
      <c r="CV15" s="103">
        <v>0</v>
      </c>
      <c r="CW15" s="103">
        <v>0</v>
      </c>
      <c r="CX15" s="103">
        <v>0</v>
      </c>
      <c r="CY15" s="103">
        <v>0</v>
      </c>
      <c r="CZ15" s="103">
        <v>0</v>
      </c>
      <c r="DA15" s="103">
        <v>0</v>
      </c>
      <c r="DB15" s="103">
        <v>0</v>
      </c>
      <c r="DC15" s="103">
        <v>1</v>
      </c>
      <c r="DD15" s="103">
        <v>0</v>
      </c>
      <c r="DE15" s="103">
        <v>0</v>
      </c>
      <c r="DF15" s="103">
        <v>0</v>
      </c>
      <c r="DG15" s="103">
        <v>0</v>
      </c>
      <c r="DH15" s="103">
        <v>0</v>
      </c>
      <c r="DI15" s="103">
        <v>0</v>
      </c>
      <c r="DJ15" s="103">
        <v>0</v>
      </c>
      <c r="DK15" s="103">
        <v>0</v>
      </c>
      <c r="DL15" s="103">
        <v>0</v>
      </c>
      <c r="DM15" s="103">
        <v>0</v>
      </c>
      <c r="DN15" s="103">
        <v>0</v>
      </c>
      <c r="DO15" s="103">
        <v>0</v>
      </c>
      <c r="DP15" s="103">
        <v>1</v>
      </c>
      <c r="DQ15" s="103">
        <v>0</v>
      </c>
      <c r="DR15" s="103">
        <v>0</v>
      </c>
      <c r="DS15" s="103">
        <v>0</v>
      </c>
      <c r="DT15" s="103">
        <v>0</v>
      </c>
      <c r="DU15" s="103">
        <v>0</v>
      </c>
      <c r="DV15" s="103">
        <v>0</v>
      </c>
      <c r="DW15" s="103">
        <v>0</v>
      </c>
      <c r="DX15" s="103">
        <v>0</v>
      </c>
      <c r="DY15" s="103">
        <v>0</v>
      </c>
      <c r="DZ15" s="103">
        <v>0</v>
      </c>
      <c r="EA15" s="103">
        <v>0</v>
      </c>
      <c r="EB15" s="103">
        <v>0</v>
      </c>
      <c r="EC15" s="103">
        <v>0</v>
      </c>
      <c r="ED15" s="103">
        <v>0</v>
      </c>
      <c r="EE15" s="103">
        <v>0</v>
      </c>
      <c r="EF15" s="103">
        <v>0</v>
      </c>
      <c r="EG15" s="103">
        <v>0</v>
      </c>
      <c r="EH15" s="103">
        <v>0</v>
      </c>
      <c r="EI15" s="103">
        <v>0</v>
      </c>
      <c r="EJ15" s="103">
        <v>0</v>
      </c>
      <c r="EK15" s="103">
        <v>0</v>
      </c>
      <c r="EL15" s="103">
        <v>0</v>
      </c>
      <c r="EM15" s="103">
        <v>0</v>
      </c>
      <c r="EN15" s="103">
        <v>0</v>
      </c>
      <c r="EO15" s="103">
        <v>0</v>
      </c>
      <c r="EP15" s="103">
        <v>0</v>
      </c>
      <c r="EQ15" s="103">
        <v>0</v>
      </c>
      <c r="ER15" s="103">
        <v>1</v>
      </c>
      <c r="ES15" s="103">
        <v>0</v>
      </c>
      <c r="ET15" s="103">
        <v>0</v>
      </c>
      <c r="EU15" s="103">
        <v>0</v>
      </c>
      <c r="EV15" s="103">
        <v>0</v>
      </c>
      <c r="EW15" s="103">
        <v>0</v>
      </c>
      <c r="EX15" s="103">
        <v>0</v>
      </c>
      <c r="EY15" s="103">
        <v>0</v>
      </c>
      <c r="EZ15" s="103">
        <v>0</v>
      </c>
      <c r="FA15" s="103">
        <v>0</v>
      </c>
      <c r="FB15" s="103">
        <v>0</v>
      </c>
      <c r="FC15" s="103">
        <v>0</v>
      </c>
      <c r="FD15" s="103">
        <v>0</v>
      </c>
      <c r="FE15" s="103">
        <v>0</v>
      </c>
      <c r="FF15" s="103">
        <v>0</v>
      </c>
      <c r="FG15" s="103">
        <v>0</v>
      </c>
      <c r="FH15" s="103">
        <v>0</v>
      </c>
      <c r="FI15" s="103">
        <v>0</v>
      </c>
      <c r="FJ15" s="103">
        <v>0</v>
      </c>
      <c r="FK15" s="103">
        <v>0</v>
      </c>
      <c r="FL15" s="103">
        <v>0</v>
      </c>
      <c r="FM15" s="103">
        <v>0</v>
      </c>
      <c r="FN15" s="103">
        <v>0</v>
      </c>
      <c r="FO15" s="103">
        <v>0</v>
      </c>
    </row>
    <row r="16" spans="1:171" s="161" customFormat="1" ht="14.45" x14ac:dyDescent="0.3">
      <c r="A16" s="149" t="s">
        <v>29</v>
      </c>
      <c r="B16" s="98" t="str">
        <f t="shared" si="0"/>
        <v>INN3367C-H301</v>
      </c>
      <c r="C16" s="71" t="s">
        <v>129</v>
      </c>
      <c r="D16" s="150"/>
      <c r="E16" s="170" t="s">
        <v>436</v>
      </c>
      <c r="F16" s="151"/>
      <c r="G16" s="151"/>
      <c r="H16" s="151" t="s">
        <v>34</v>
      </c>
      <c r="I16" s="152">
        <v>6</v>
      </c>
      <c r="J16" s="152">
        <v>7</v>
      </c>
      <c r="K16" s="153">
        <v>7</v>
      </c>
      <c r="L16" s="154">
        <v>7</v>
      </c>
      <c r="M16" s="155">
        <v>115</v>
      </c>
      <c r="N16" s="156">
        <v>1450</v>
      </c>
      <c r="O16" s="78">
        <v>9.1</v>
      </c>
      <c r="P16" s="156">
        <v>25</v>
      </c>
      <c r="Q16" s="156">
        <v>0</v>
      </c>
      <c r="R16" s="156">
        <v>0</v>
      </c>
      <c r="S16" s="156">
        <v>0</v>
      </c>
      <c r="T16" s="156">
        <v>0</v>
      </c>
      <c r="U16" s="156">
        <v>0</v>
      </c>
      <c r="V16" s="156">
        <v>0</v>
      </c>
      <c r="W16" s="156">
        <v>0</v>
      </c>
      <c r="X16" s="156">
        <v>0</v>
      </c>
      <c r="Y16" s="156">
        <v>0</v>
      </c>
      <c r="Z16" s="156">
        <v>0</v>
      </c>
      <c r="AA16" s="156">
        <v>0</v>
      </c>
      <c r="AB16" s="156">
        <v>0</v>
      </c>
      <c r="AC16" s="156">
        <v>1</v>
      </c>
      <c r="AD16" s="157" t="s">
        <v>32</v>
      </c>
      <c r="AE16" s="156">
        <v>1</v>
      </c>
      <c r="AF16" s="158">
        <v>0</v>
      </c>
      <c r="AG16" s="159">
        <v>675</v>
      </c>
      <c r="AH16" s="160">
        <v>630</v>
      </c>
      <c r="AI16" s="156">
        <v>8</v>
      </c>
      <c r="AJ16" s="156">
        <v>0</v>
      </c>
      <c r="AK16" s="156">
        <v>21</v>
      </c>
      <c r="AL16" s="156">
        <v>10</v>
      </c>
      <c r="AM16" s="156">
        <v>0</v>
      </c>
      <c r="AN16" s="156">
        <v>0</v>
      </c>
      <c r="AO16" s="106">
        <v>132</v>
      </c>
      <c r="AP16" s="114">
        <v>3.2000000000000001E-2</v>
      </c>
      <c r="AQ16" s="79">
        <v>5</v>
      </c>
      <c r="AR16" s="103">
        <v>0</v>
      </c>
      <c r="AS16" s="103">
        <v>0</v>
      </c>
      <c r="AT16" s="103">
        <v>0</v>
      </c>
      <c r="AU16" s="103">
        <v>0</v>
      </c>
      <c r="AV16" s="103">
        <v>0</v>
      </c>
      <c r="AW16" s="103">
        <v>0</v>
      </c>
      <c r="AX16" s="103">
        <v>0</v>
      </c>
      <c r="AY16" s="103">
        <v>0</v>
      </c>
      <c r="AZ16" s="103">
        <v>0</v>
      </c>
      <c r="BA16" s="103">
        <v>0</v>
      </c>
      <c r="BB16" s="103">
        <v>0</v>
      </c>
      <c r="BC16" s="103">
        <v>0</v>
      </c>
      <c r="BD16" s="103">
        <v>0</v>
      </c>
      <c r="BE16" s="103">
        <v>0</v>
      </c>
      <c r="BF16" s="103">
        <v>0</v>
      </c>
      <c r="BG16" s="103">
        <v>0</v>
      </c>
      <c r="BH16" s="103">
        <v>0</v>
      </c>
      <c r="BI16" s="103">
        <v>0</v>
      </c>
      <c r="BJ16" s="103">
        <v>0</v>
      </c>
      <c r="BK16" s="103">
        <v>0</v>
      </c>
      <c r="BL16" s="103">
        <v>0</v>
      </c>
      <c r="BM16" s="103">
        <v>0</v>
      </c>
      <c r="BN16" s="103">
        <v>0</v>
      </c>
      <c r="BO16" s="103">
        <v>1</v>
      </c>
      <c r="BP16" s="103">
        <v>0</v>
      </c>
      <c r="BQ16" s="103">
        <v>0</v>
      </c>
      <c r="BR16" s="103">
        <v>0</v>
      </c>
      <c r="BS16" s="103">
        <v>1</v>
      </c>
      <c r="BT16" s="103">
        <v>0</v>
      </c>
      <c r="BU16" s="103">
        <v>0</v>
      </c>
      <c r="BV16" s="103">
        <v>0</v>
      </c>
      <c r="BW16" s="103">
        <v>0</v>
      </c>
      <c r="BX16" s="103">
        <v>0</v>
      </c>
      <c r="BY16" s="103">
        <v>0</v>
      </c>
      <c r="BZ16" s="103">
        <v>0</v>
      </c>
      <c r="CA16" s="103">
        <v>0</v>
      </c>
      <c r="CB16" s="103">
        <v>0</v>
      </c>
      <c r="CC16" s="103">
        <v>0</v>
      </c>
      <c r="CD16" s="103">
        <v>1</v>
      </c>
      <c r="CE16" s="103">
        <v>0</v>
      </c>
      <c r="CF16" s="103">
        <v>0</v>
      </c>
      <c r="CG16" s="103">
        <v>0</v>
      </c>
      <c r="CH16" s="103">
        <v>0</v>
      </c>
      <c r="CI16" s="103">
        <v>0</v>
      </c>
      <c r="CJ16" s="103">
        <v>0</v>
      </c>
      <c r="CK16" s="103">
        <v>0</v>
      </c>
      <c r="CL16" s="103">
        <v>0</v>
      </c>
      <c r="CM16" s="103">
        <v>0</v>
      </c>
      <c r="CN16" s="103">
        <v>0</v>
      </c>
      <c r="CO16" s="103">
        <v>0</v>
      </c>
      <c r="CP16" s="103">
        <v>0</v>
      </c>
      <c r="CQ16" s="103">
        <v>0</v>
      </c>
      <c r="CR16" s="103">
        <v>0</v>
      </c>
      <c r="CS16" s="103">
        <v>0</v>
      </c>
      <c r="CT16" s="103">
        <v>0</v>
      </c>
      <c r="CU16" s="103">
        <v>1</v>
      </c>
      <c r="CV16" s="103">
        <v>0</v>
      </c>
      <c r="CW16" s="103">
        <v>0</v>
      </c>
      <c r="CX16" s="103">
        <v>0</v>
      </c>
      <c r="CY16" s="103">
        <v>0</v>
      </c>
      <c r="CZ16" s="103">
        <v>0</v>
      </c>
      <c r="DA16" s="103">
        <v>0</v>
      </c>
      <c r="DB16" s="103">
        <v>0</v>
      </c>
      <c r="DC16" s="103">
        <v>1</v>
      </c>
      <c r="DD16" s="103">
        <v>0</v>
      </c>
      <c r="DE16" s="103">
        <v>0</v>
      </c>
      <c r="DF16" s="103">
        <v>0</v>
      </c>
      <c r="DG16" s="103">
        <v>0</v>
      </c>
      <c r="DH16" s="103">
        <v>0</v>
      </c>
      <c r="DI16" s="103">
        <v>0</v>
      </c>
      <c r="DJ16" s="103">
        <v>0</v>
      </c>
      <c r="DK16" s="103">
        <v>0</v>
      </c>
      <c r="DL16" s="103">
        <v>0</v>
      </c>
      <c r="DM16" s="103">
        <v>0</v>
      </c>
      <c r="DN16" s="103">
        <v>0</v>
      </c>
      <c r="DO16" s="103">
        <v>0</v>
      </c>
      <c r="DP16" s="103">
        <v>1</v>
      </c>
      <c r="DQ16" s="103">
        <v>0</v>
      </c>
      <c r="DR16" s="103">
        <v>0</v>
      </c>
      <c r="DS16" s="103">
        <v>0</v>
      </c>
      <c r="DT16" s="103">
        <v>0</v>
      </c>
      <c r="DU16" s="103">
        <v>0</v>
      </c>
      <c r="DV16" s="103">
        <v>0</v>
      </c>
      <c r="DW16" s="103">
        <v>0</v>
      </c>
      <c r="DX16" s="103">
        <v>0</v>
      </c>
      <c r="DY16" s="103">
        <v>0</v>
      </c>
      <c r="DZ16" s="103">
        <v>0</v>
      </c>
      <c r="EA16" s="103">
        <v>0</v>
      </c>
      <c r="EB16" s="103">
        <v>0</v>
      </c>
      <c r="EC16" s="103">
        <v>0</v>
      </c>
      <c r="ED16" s="103">
        <v>0</v>
      </c>
      <c r="EE16" s="103">
        <v>0</v>
      </c>
      <c r="EF16" s="103">
        <v>0</v>
      </c>
      <c r="EG16" s="103">
        <v>0</v>
      </c>
      <c r="EH16" s="103">
        <v>0</v>
      </c>
      <c r="EI16" s="103">
        <v>0</v>
      </c>
      <c r="EJ16" s="103">
        <v>0</v>
      </c>
      <c r="EK16" s="103">
        <v>0</v>
      </c>
      <c r="EL16" s="103">
        <v>0</v>
      </c>
      <c r="EM16" s="103">
        <v>0</v>
      </c>
      <c r="EN16" s="103">
        <v>0</v>
      </c>
      <c r="EO16" s="103">
        <v>0</v>
      </c>
      <c r="EP16" s="103">
        <v>0</v>
      </c>
      <c r="EQ16" s="103">
        <v>0</v>
      </c>
      <c r="ER16" s="103">
        <v>1</v>
      </c>
      <c r="ES16" s="103">
        <v>0</v>
      </c>
      <c r="ET16" s="103">
        <v>0</v>
      </c>
      <c r="EU16" s="103">
        <v>0</v>
      </c>
      <c r="EV16" s="103">
        <v>0</v>
      </c>
      <c r="EW16" s="103">
        <v>0</v>
      </c>
      <c r="EX16" s="103">
        <v>0</v>
      </c>
      <c r="EY16" s="103">
        <v>0</v>
      </c>
      <c r="EZ16" s="103">
        <v>0</v>
      </c>
      <c r="FA16" s="103">
        <v>0</v>
      </c>
      <c r="FB16" s="103">
        <v>0</v>
      </c>
      <c r="FC16" s="103">
        <v>0</v>
      </c>
      <c r="FD16" s="103">
        <v>0</v>
      </c>
      <c r="FE16" s="103">
        <v>0</v>
      </c>
      <c r="FF16" s="103">
        <v>0</v>
      </c>
      <c r="FG16" s="103">
        <v>0</v>
      </c>
      <c r="FH16" s="103">
        <v>0</v>
      </c>
      <c r="FI16" s="103">
        <v>0</v>
      </c>
      <c r="FJ16" s="103">
        <v>0</v>
      </c>
      <c r="FK16" s="103">
        <v>0</v>
      </c>
      <c r="FL16" s="103">
        <v>0</v>
      </c>
      <c r="FM16" s="103">
        <v>0</v>
      </c>
      <c r="FN16" s="103">
        <v>0</v>
      </c>
      <c r="FO16" s="103">
        <v>0</v>
      </c>
    </row>
    <row r="17" spans="1:171" s="161" customFormat="1" ht="14.45" x14ac:dyDescent="0.3">
      <c r="A17" s="149" t="s">
        <v>29</v>
      </c>
      <c r="B17" s="98" t="str">
        <f t="shared" si="0"/>
        <v>INN3368C-H301</v>
      </c>
      <c r="C17" s="71" t="s">
        <v>129</v>
      </c>
      <c r="D17" s="150"/>
      <c r="E17" s="170" t="s">
        <v>437</v>
      </c>
      <c r="F17" s="151"/>
      <c r="G17" s="151"/>
      <c r="H17" s="151" t="s">
        <v>34</v>
      </c>
      <c r="I17" s="152">
        <v>6</v>
      </c>
      <c r="J17" s="152">
        <v>8</v>
      </c>
      <c r="K17" s="153">
        <v>8</v>
      </c>
      <c r="L17" s="154">
        <v>8</v>
      </c>
      <c r="M17" s="155">
        <v>115</v>
      </c>
      <c r="N17" s="156">
        <v>1650</v>
      </c>
      <c r="O17" s="78">
        <v>9.1</v>
      </c>
      <c r="P17" s="156">
        <v>25</v>
      </c>
      <c r="Q17" s="156">
        <v>0</v>
      </c>
      <c r="R17" s="156">
        <v>0</v>
      </c>
      <c r="S17" s="156">
        <v>0</v>
      </c>
      <c r="T17" s="156">
        <v>0</v>
      </c>
      <c r="U17" s="156">
        <v>0</v>
      </c>
      <c r="V17" s="156">
        <v>0</v>
      </c>
      <c r="W17" s="156">
        <v>0</v>
      </c>
      <c r="X17" s="156">
        <v>0</v>
      </c>
      <c r="Y17" s="156">
        <v>0</v>
      </c>
      <c r="Z17" s="156">
        <v>0</v>
      </c>
      <c r="AA17" s="156">
        <v>0</v>
      </c>
      <c r="AB17" s="156">
        <v>0</v>
      </c>
      <c r="AC17" s="156">
        <v>1</v>
      </c>
      <c r="AD17" s="157" t="s">
        <v>32</v>
      </c>
      <c r="AE17" s="156">
        <v>1</v>
      </c>
      <c r="AF17" s="158">
        <v>0</v>
      </c>
      <c r="AG17" s="159">
        <v>675</v>
      </c>
      <c r="AH17" s="160">
        <v>630</v>
      </c>
      <c r="AI17" s="156">
        <v>13</v>
      </c>
      <c r="AJ17" s="156">
        <v>0</v>
      </c>
      <c r="AK17" s="156">
        <v>17</v>
      </c>
      <c r="AL17" s="156">
        <v>11</v>
      </c>
      <c r="AM17" s="156">
        <v>0</v>
      </c>
      <c r="AN17" s="156">
        <v>0</v>
      </c>
      <c r="AO17" s="106">
        <v>132</v>
      </c>
      <c r="AP17" s="114">
        <v>3.2000000000000001E-2</v>
      </c>
      <c r="AQ17" s="79">
        <v>5</v>
      </c>
      <c r="AR17" s="103">
        <v>0</v>
      </c>
      <c r="AS17" s="103">
        <v>0</v>
      </c>
      <c r="AT17" s="103">
        <v>0</v>
      </c>
      <c r="AU17" s="103">
        <v>0</v>
      </c>
      <c r="AV17" s="103">
        <v>0</v>
      </c>
      <c r="AW17" s="103">
        <v>0</v>
      </c>
      <c r="AX17" s="103">
        <v>0</v>
      </c>
      <c r="AY17" s="103">
        <v>0</v>
      </c>
      <c r="AZ17" s="103">
        <v>0</v>
      </c>
      <c r="BA17" s="103">
        <v>0</v>
      </c>
      <c r="BB17" s="103">
        <v>0</v>
      </c>
      <c r="BC17" s="103">
        <v>0</v>
      </c>
      <c r="BD17" s="103">
        <v>0</v>
      </c>
      <c r="BE17" s="103">
        <v>0</v>
      </c>
      <c r="BF17" s="103">
        <v>0</v>
      </c>
      <c r="BG17" s="103">
        <v>0</v>
      </c>
      <c r="BH17" s="103">
        <v>0</v>
      </c>
      <c r="BI17" s="103">
        <v>0</v>
      </c>
      <c r="BJ17" s="103">
        <v>0</v>
      </c>
      <c r="BK17" s="103">
        <v>0</v>
      </c>
      <c r="BL17" s="103">
        <v>0</v>
      </c>
      <c r="BM17" s="103">
        <v>0</v>
      </c>
      <c r="BN17" s="103">
        <v>0</v>
      </c>
      <c r="BO17" s="103">
        <v>1</v>
      </c>
      <c r="BP17" s="103">
        <v>0</v>
      </c>
      <c r="BQ17" s="103">
        <v>0</v>
      </c>
      <c r="BR17" s="103">
        <v>0</v>
      </c>
      <c r="BS17" s="103">
        <v>1</v>
      </c>
      <c r="BT17" s="103">
        <v>0</v>
      </c>
      <c r="BU17" s="103">
        <v>0</v>
      </c>
      <c r="BV17" s="103">
        <v>0</v>
      </c>
      <c r="BW17" s="103">
        <v>0</v>
      </c>
      <c r="BX17" s="103">
        <v>0</v>
      </c>
      <c r="BY17" s="103">
        <v>0</v>
      </c>
      <c r="BZ17" s="103">
        <v>0</v>
      </c>
      <c r="CA17" s="103">
        <v>0</v>
      </c>
      <c r="CB17" s="103">
        <v>0</v>
      </c>
      <c r="CC17" s="103">
        <v>0</v>
      </c>
      <c r="CD17" s="103">
        <v>1</v>
      </c>
      <c r="CE17" s="103">
        <v>0</v>
      </c>
      <c r="CF17" s="103">
        <v>0</v>
      </c>
      <c r="CG17" s="103">
        <v>0</v>
      </c>
      <c r="CH17" s="103">
        <v>0</v>
      </c>
      <c r="CI17" s="103">
        <v>0</v>
      </c>
      <c r="CJ17" s="103">
        <v>0</v>
      </c>
      <c r="CK17" s="103">
        <v>0</v>
      </c>
      <c r="CL17" s="103">
        <v>0</v>
      </c>
      <c r="CM17" s="103">
        <v>0</v>
      </c>
      <c r="CN17" s="103">
        <v>0</v>
      </c>
      <c r="CO17" s="103">
        <v>0</v>
      </c>
      <c r="CP17" s="103">
        <v>0</v>
      </c>
      <c r="CQ17" s="103">
        <v>0</v>
      </c>
      <c r="CR17" s="103">
        <v>0</v>
      </c>
      <c r="CS17" s="103">
        <v>0</v>
      </c>
      <c r="CT17" s="103">
        <v>0</v>
      </c>
      <c r="CU17" s="103">
        <v>1</v>
      </c>
      <c r="CV17" s="103">
        <v>0</v>
      </c>
      <c r="CW17" s="103">
        <v>0</v>
      </c>
      <c r="CX17" s="103">
        <v>0</v>
      </c>
      <c r="CY17" s="103">
        <v>0</v>
      </c>
      <c r="CZ17" s="103">
        <v>0</v>
      </c>
      <c r="DA17" s="103">
        <v>0</v>
      </c>
      <c r="DB17" s="103">
        <v>0</v>
      </c>
      <c r="DC17" s="103">
        <v>1</v>
      </c>
      <c r="DD17" s="103">
        <v>0</v>
      </c>
      <c r="DE17" s="103">
        <v>0</v>
      </c>
      <c r="DF17" s="103">
        <v>0</v>
      </c>
      <c r="DG17" s="103">
        <v>0</v>
      </c>
      <c r="DH17" s="103">
        <v>0</v>
      </c>
      <c r="DI17" s="103">
        <v>0</v>
      </c>
      <c r="DJ17" s="103">
        <v>0</v>
      </c>
      <c r="DK17" s="103">
        <v>0</v>
      </c>
      <c r="DL17" s="103">
        <v>0</v>
      </c>
      <c r="DM17" s="103">
        <v>0</v>
      </c>
      <c r="DN17" s="103">
        <v>0</v>
      </c>
      <c r="DO17" s="103">
        <v>0</v>
      </c>
      <c r="DP17" s="103">
        <v>1</v>
      </c>
      <c r="DQ17" s="103">
        <v>0</v>
      </c>
      <c r="DR17" s="103">
        <v>0</v>
      </c>
      <c r="DS17" s="103">
        <v>0</v>
      </c>
      <c r="DT17" s="103">
        <v>0</v>
      </c>
      <c r="DU17" s="103">
        <v>0</v>
      </c>
      <c r="DV17" s="103">
        <v>0</v>
      </c>
      <c r="DW17" s="103">
        <v>0</v>
      </c>
      <c r="DX17" s="103">
        <v>0</v>
      </c>
      <c r="DY17" s="103">
        <v>0</v>
      </c>
      <c r="DZ17" s="103">
        <v>0</v>
      </c>
      <c r="EA17" s="103">
        <v>0</v>
      </c>
      <c r="EB17" s="103">
        <v>0</v>
      </c>
      <c r="EC17" s="103">
        <v>0</v>
      </c>
      <c r="ED17" s="103">
        <v>0</v>
      </c>
      <c r="EE17" s="103">
        <v>0</v>
      </c>
      <c r="EF17" s="103">
        <v>0</v>
      </c>
      <c r="EG17" s="103">
        <v>0</v>
      </c>
      <c r="EH17" s="103">
        <v>0</v>
      </c>
      <c r="EI17" s="103">
        <v>0</v>
      </c>
      <c r="EJ17" s="103">
        <v>0</v>
      </c>
      <c r="EK17" s="103">
        <v>0</v>
      </c>
      <c r="EL17" s="103">
        <v>0</v>
      </c>
      <c r="EM17" s="103">
        <v>0</v>
      </c>
      <c r="EN17" s="103">
        <v>0</v>
      </c>
      <c r="EO17" s="103">
        <v>0</v>
      </c>
      <c r="EP17" s="103">
        <v>0</v>
      </c>
      <c r="EQ17" s="103">
        <v>0</v>
      </c>
      <c r="ER17" s="103">
        <v>1</v>
      </c>
      <c r="ES17" s="103">
        <v>0</v>
      </c>
      <c r="ET17" s="103">
        <v>0</v>
      </c>
      <c r="EU17" s="103">
        <v>0</v>
      </c>
      <c r="EV17" s="103">
        <v>0</v>
      </c>
      <c r="EW17" s="103">
        <v>0</v>
      </c>
      <c r="EX17" s="103">
        <v>0</v>
      </c>
      <c r="EY17" s="103">
        <v>0</v>
      </c>
      <c r="EZ17" s="103">
        <v>0</v>
      </c>
      <c r="FA17" s="103">
        <v>0</v>
      </c>
      <c r="FB17" s="103">
        <v>0</v>
      </c>
      <c r="FC17" s="103">
        <v>0</v>
      </c>
      <c r="FD17" s="103">
        <v>0</v>
      </c>
      <c r="FE17" s="103">
        <v>0</v>
      </c>
      <c r="FF17" s="103">
        <v>0</v>
      </c>
      <c r="FG17" s="103">
        <v>0</v>
      </c>
      <c r="FH17" s="103">
        <v>0</v>
      </c>
      <c r="FI17" s="103">
        <v>0</v>
      </c>
      <c r="FJ17" s="103">
        <v>0</v>
      </c>
      <c r="FK17" s="103">
        <v>0</v>
      </c>
      <c r="FL17" s="103">
        <v>0</v>
      </c>
      <c r="FM17" s="103">
        <v>0</v>
      </c>
      <c r="FN17" s="103">
        <v>0</v>
      </c>
      <c r="FO17" s="103">
        <v>0</v>
      </c>
    </row>
    <row r="18" spans="1:171" s="161" customFormat="1" ht="14.45" x14ac:dyDescent="0.3">
      <c r="A18" s="149" t="s">
        <v>29</v>
      </c>
      <c r="B18" s="150" t="s">
        <v>133</v>
      </c>
      <c r="C18" s="150" t="s">
        <v>129</v>
      </c>
      <c r="D18" s="150"/>
      <c r="E18" s="170" t="s">
        <v>438</v>
      </c>
      <c r="F18" s="151"/>
      <c r="G18" s="151"/>
      <c r="H18" s="151" t="s">
        <v>34</v>
      </c>
      <c r="I18" s="152">
        <v>7</v>
      </c>
      <c r="J18" s="152">
        <v>5</v>
      </c>
      <c r="K18" s="153">
        <v>5</v>
      </c>
      <c r="L18" s="154">
        <v>5</v>
      </c>
      <c r="M18" s="155">
        <v>115</v>
      </c>
      <c r="N18" s="156">
        <v>950</v>
      </c>
      <c r="O18" s="78">
        <v>9.1</v>
      </c>
      <c r="P18" s="156">
        <v>25</v>
      </c>
      <c r="Q18" s="156">
        <v>0</v>
      </c>
      <c r="R18" s="156">
        <v>0</v>
      </c>
      <c r="S18" s="156">
        <v>0</v>
      </c>
      <c r="T18" s="156">
        <v>0</v>
      </c>
      <c r="U18" s="156">
        <v>0</v>
      </c>
      <c r="V18" s="156">
        <v>0</v>
      </c>
      <c r="W18" s="156">
        <v>0</v>
      </c>
      <c r="X18" s="156">
        <v>0</v>
      </c>
      <c r="Y18" s="156">
        <v>0</v>
      </c>
      <c r="Z18" s="156">
        <v>0</v>
      </c>
      <c r="AA18" s="156">
        <v>0</v>
      </c>
      <c r="AB18" s="156">
        <v>0</v>
      </c>
      <c r="AC18" s="156">
        <v>1</v>
      </c>
      <c r="AD18" s="157" t="s">
        <v>32</v>
      </c>
      <c r="AE18" s="156">
        <v>1</v>
      </c>
      <c r="AF18" s="158">
        <v>0</v>
      </c>
      <c r="AG18" s="159">
        <v>750</v>
      </c>
      <c r="AH18" s="160">
        <v>705</v>
      </c>
      <c r="AI18" s="156">
        <v>10</v>
      </c>
      <c r="AJ18" s="156">
        <v>0</v>
      </c>
      <c r="AK18" s="156">
        <v>31</v>
      </c>
      <c r="AL18" s="156">
        <v>6</v>
      </c>
      <c r="AM18" s="156">
        <v>0</v>
      </c>
      <c r="AN18" s="156">
        <v>0</v>
      </c>
      <c r="AO18" s="162">
        <v>132</v>
      </c>
      <c r="AP18" s="163">
        <v>3.2000000000000001E-2</v>
      </c>
      <c r="AQ18" s="164">
        <v>5</v>
      </c>
      <c r="AR18" s="103">
        <v>0</v>
      </c>
      <c r="AS18" s="103">
        <v>0</v>
      </c>
      <c r="AT18" s="103">
        <v>0</v>
      </c>
      <c r="AU18" s="103">
        <v>0</v>
      </c>
      <c r="AV18" s="103">
        <v>0</v>
      </c>
      <c r="AW18" s="103">
        <v>0</v>
      </c>
      <c r="AX18" s="103">
        <v>0</v>
      </c>
      <c r="AY18" s="103">
        <v>0</v>
      </c>
      <c r="AZ18" s="103">
        <v>0</v>
      </c>
      <c r="BA18" s="103">
        <v>0</v>
      </c>
      <c r="BB18" s="103">
        <v>0</v>
      </c>
      <c r="BC18" s="103">
        <v>0</v>
      </c>
      <c r="BD18" s="103">
        <v>0</v>
      </c>
      <c r="BE18" s="103">
        <v>0</v>
      </c>
      <c r="BF18" s="103">
        <v>0</v>
      </c>
      <c r="BG18" s="103">
        <v>0</v>
      </c>
      <c r="BH18" s="103">
        <v>0</v>
      </c>
      <c r="BI18" s="103">
        <v>0</v>
      </c>
      <c r="BJ18" s="103">
        <v>0</v>
      </c>
      <c r="BK18" s="103">
        <v>0</v>
      </c>
      <c r="BL18" s="103">
        <v>0</v>
      </c>
      <c r="BM18" s="103">
        <v>0</v>
      </c>
      <c r="BN18" s="103">
        <v>0</v>
      </c>
      <c r="BO18" s="103">
        <v>1</v>
      </c>
      <c r="BP18" s="103">
        <v>0</v>
      </c>
      <c r="BQ18" s="103">
        <v>0</v>
      </c>
      <c r="BR18" s="103">
        <v>0</v>
      </c>
      <c r="BS18" s="103">
        <v>1</v>
      </c>
      <c r="BT18" s="103">
        <v>0</v>
      </c>
      <c r="BU18" s="103">
        <v>0</v>
      </c>
      <c r="BV18" s="103">
        <v>0</v>
      </c>
      <c r="BW18" s="103">
        <v>0</v>
      </c>
      <c r="BX18" s="103">
        <v>0</v>
      </c>
      <c r="BY18" s="103">
        <v>0</v>
      </c>
      <c r="BZ18" s="103">
        <v>0</v>
      </c>
      <c r="CA18" s="103">
        <v>0</v>
      </c>
      <c r="CB18" s="103">
        <v>0</v>
      </c>
      <c r="CC18" s="103">
        <v>0</v>
      </c>
      <c r="CD18" s="103">
        <v>1</v>
      </c>
      <c r="CE18" s="103">
        <v>0</v>
      </c>
      <c r="CF18" s="103">
        <v>0</v>
      </c>
      <c r="CG18" s="103">
        <v>0</v>
      </c>
      <c r="CH18" s="103">
        <v>0</v>
      </c>
      <c r="CI18" s="103">
        <v>0</v>
      </c>
      <c r="CJ18" s="103">
        <v>0</v>
      </c>
      <c r="CK18" s="103">
        <v>0</v>
      </c>
      <c r="CL18" s="103">
        <v>0</v>
      </c>
      <c r="CM18" s="103">
        <v>0</v>
      </c>
      <c r="CN18" s="103">
        <v>0</v>
      </c>
      <c r="CO18" s="103">
        <v>0</v>
      </c>
      <c r="CP18" s="103">
        <v>0</v>
      </c>
      <c r="CQ18" s="103">
        <v>0</v>
      </c>
      <c r="CR18" s="103">
        <v>0</v>
      </c>
      <c r="CS18" s="103">
        <v>0</v>
      </c>
      <c r="CT18" s="103">
        <v>0</v>
      </c>
      <c r="CU18" s="103">
        <v>1</v>
      </c>
      <c r="CV18" s="103">
        <v>0</v>
      </c>
      <c r="CW18" s="103">
        <v>0</v>
      </c>
      <c r="CX18" s="103">
        <v>0</v>
      </c>
      <c r="CY18" s="103">
        <v>0</v>
      </c>
      <c r="CZ18" s="103">
        <v>0</v>
      </c>
      <c r="DA18" s="103">
        <v>0</v>
      </c>
      <c r="DB18" s="103">
        <v>0</v>
      </c>
      <c r="DC18" s="103">
        <v>1</v>
      </c>
      <c r="DD18" s="103">
        <v>0</v>
      </c>
      <c r="DE18" s="103">
        <v>0</v>
      </c>
      <c r="DF18" s="103">
        <v>0</v>
      </c>
      <c r="DG18" s="103">
        <v>0</v>
      </c>
      <c r="DH18" s="103">
        <v>0</v>
      </c>
      <c r="DI18" s="103">
        <v>0</v>
      </c>
      <c r="DJ18" s="103">
        <v>0</v>
      </c>
      <c r="DK18" s="103">
        <v>0</v>
      </c>
      <c r="DL18" s="103">
        <v>0</v>
      </c>
      <c r="DM18" s="103">
        <v>0</v>
      </c>
      <c r="DN18" s="103">
        <v>0</v>
      </c>
      <c r="DO18" s="103">
        <v>0</v>
      </c>
      <c r="DP18" s="103">
        <v>1</v>
      </c>
      <c r="DQ18" s="103">
        <v>0</v>
      </c>
      <c r="DR18" s="103">
        <v>0</v>
      </c>
      <c r="DS18" s="103">
        <v>0</v>
      </c>
      <c r="DT18" s="103">
        <v>0</v>
      </c>
      <c r="DU18" s="103">
        <v>0</v>
      </c>
      <c r="DV18" s="103">
        <v>0</v>
      </c>
      <c r="DW18" s="103">
        <v>0</v>
      </c>
      <c r="DX18" s="103">
        <v>0</v>
      </c>
      <c r="DY18" s="103">
        <v>0</v>
      </c>
      <c r="DZ18" s="103">
        <v>0</v>
      </c>
      <c r="EA18" s="103">
        <v>0</v>
      </c>
      <c r="EB18" s="103">
        <v>0</v>
      </c>
      <c r="EC18" s="103">
        <v>0</v>
      </c>
      <c r="ED18" s="103">
        <v>0</v>
      </c>
      <c r="EE18" s="103">
        <v>0</v>
      </c>
      <c r="EF18" s="103">
        <v>0</v>
      </c>
      <c r="EG18" s="103">
        <v>0</v>
      </c>
      <c r="EH18" s="103">
        <v>0</v>
      </c>
      <c r="EI18" s="103">
        <v>0</v>
      </c>
      <c r="EJ18" s="103">
        <v>0</v>
      </c>
      <c r="EK18" s="103">
        <v>0</v>
      </c>
      <c r="EL18" s="103">
        <v>0</v>
      </c>
      <c r="EM18" s="103">
        <v>0</v>
      </c>
      <c r="EN18" s="103">
        <v>0</v>
      </c>
      <c r="EO18" s="103">
        <v>0</v>
      </c>
      <c r="EP18" s="103">
        <v>0</v>
      </c>
      <c r="EQ18" s="103">
        <v>0</v>
      </c>
      <c r="ER18" s="103">
        <v>1</v>
      </c>
      <c r="ES18" s="103">
        <v>0</v>
      </c>
      <c r="ET18" s="103">
        <v>0</v>
      </c>
      <c r="EU18" s="103">
        <v>0</v>
      </c>
      <c r="EV18" s="103">
        <v>0</v>
      </c>
      <c r="EW18" s="103">
        <v>0</v>
      </c>
      <c r="EX18" s="103">
        <v>0</v>
      </c>
      <c r="EY18" s="103">
        <v>0</v>
      </c>
      <c r="EZ18" s="103">
        <v>0</v>
      </c>
      <c r="FA18" s="103">
        <v>0</v>
      </c>
      <c r="FB18" s="103">
        <v>0</v>
      </c>
      <c r="FC18" s="103">
        <v>0</v>
      </c>
      <c r="FD18" s="103">
        <v>0</v>
      </c>
      <c r="FE18" s="103">
        <v>0</v>
      </c>
      <c r="FF18" s="103">
        <v>0</v>
      </c>
      <c r="FG18" s="103">
        <v>0</v>
      </c>
      <c r="FH18" s="103">
        <v>0</v>
      </c>
      <c r="FI18" s="103">
        <v>0</v>
      </c>
      <c r="FJ18" s="103">
        <v>0</v>
      </c>
      <c r="FK18" s="103">
        <v>0</v>
      </c>
      <c r="FL18" s="103">
        <v>0</v>
      </c>
      <c r="FM18" s="103">
        <v>0</v>
      </c>
      <c r="FN18" s="103">
        <v>0</v>
      </c>
      <c r="FO18" s="103">
        <v>0</v>
      </c>
    </row>
    <row r="19" spans="1:171" s="161" customFormat="1" ht="14.45" x14ac:dyDescent="0.3">
      <c r="A19" s="149" t="s">
        <v>29</v>
      </c>
      <c r="B19" s="150" t="s">
        <v>134</v>
      </c>
      <c r="C19" s="150" t="s">
        <v>129</v>
      </c>
      <c r="D19" s="150"/>
      <c r="E19" s="170" t="s">
        <v>439</v>
      </c>
      <c r="F19" s="151"/>
      <c r="G19" s="151"/>
      <c r="H19" s="151" t="s">
        <v>34</v>
      </c>
      <c r="I19" s="152">
        <v>7</v>
      </c>
      <c r="J19" s="152">
        <v>6</v>
      </c>
      <c r="K19" s="153">
        <v>6</v>
      </c>
      <c r="L19" s="154">
        <v>6</v>
      </c>
      <c r="M19" s="155">
        <v>115</v>
      </c>
      <c r="N19" s="156">
        <v>1250</v>
      </c>
      <c r="O19" s="78">
        <v>9.1</v>
      </c>
      <c r="P19" s="156">
        <v>25</v>
      </c>
      <c r="Q19" s="156">
        <v>0</v>
      </c>
      <c r="R19" s="156">
        <v>0</v>
      </c>
      <c r="S19" s="156">
        <v>0</v>
      </c>
      <c r="T19" s="156">
        <v>0</v>
      </c>
      <c r="U19" s="156">
        <v>0</v>
      </c>
      <c r="V19" s="156">
        <v>0</v>
      </c>
      <c r="W19" s="156">
        <v>0</v>
      </c>
      <c r="X19" s="156">
        <v>0</v>
      </c>
      <c r="Y19" s="156">
        <v>0</v>
      </c>
      <c r="Z19" s="156">
        <v>0</v>
      </c>
      <c r="AA19" s="156">
        <v>0</v>
      </c>
      <c r="AB19" s="156">
        <v>0</v>
      </c>
      <c r="AC19" s="156">
        <v>1</v>
      </c>
      <c r="AD19" s="157" t="s">
        <v>32</v>
      </c>
      <c r="AE19" s="156">
        <v>1</v>
      </c>
      <c r="AF19" s="158">
        <v>0</v>
      </c>
      <c r="AG19" s="159">
        <v>750</v>
      </c>
      <c r="AH19" s="160">
        <v>705</v>
      </c>
      <c r="AI19" s="156">
        <v>9</v>
      </c>
      <c r="AJ19" s="156">
        <v>0</v>
      </c>
      <c r="AK19" s="156">
        <v>20</v>
      </c>
      <c r="AL19" s="156">
        <v>5</v>
      </c>
      <c r="AM19" s="156">
        <v>0</v>
      </c>
      <c r="AN19" s="156">
        <v>0</v>
      </c>
      <c r="AO19" s="162">
        <v>132</v>
      </c>
      <c r="AP19" s="163">
        <v>3.2000000000000001E-2</v>
      </c>
      <c r="AQ19" s="164">
        <v>5</v>
      </c>
      <c r="AR19" s="103">
        <v>0</v>
      </c>
      <c r="AS19" s="103">
        <v>0</v>
      </c>
      <c r="AT19" s="103">
        <v>0</v>
      </c>
      <c r="AU19" s="103">
        <v>0</v>
      </c>
      <c r="AV19" s="103">
        <v>0</v>
      </c>
      <c r="AW19" s="103">
        <v>0</v>
      </c>
      <c r="AX19" s="103">
        <v>0</v>
      </c>
      <c r="AY19" s="103">
        <v>0</v>
      </c>
      <c r="AZ19" s="103">
        <v>0</v>
      </c>
      <c r="BA19" s="103">
        <v>0</v>
      </c>
      <c r="BB19" s="103">
        <v>0</v>
      </c>
      <c r="BC19" s="103">
        <v>0</v>
      </c>
      <c r="BD19" s="103">
        <v>0</v>
      </c>
      <c r="BE19" s="103">
        <v>0</v>
      </c>
      <c r="BF19" s="103">
        <v>0</v>
      </c>
      <c r="BG19" s="103">
        <v>0</v>
      </c>
      <c r="BH19" s="103">
        <v>0</v>
      </c>
      <c r="BI19" s="103">
        <v>0</v>
      </c>
      <c r="BJ19" s="103">
        <v>0</v>
      </c>
      <c r="BK19" s="103">
        <v>0</v>
      </c>
      <c r="BL19" s="103">
        <v>0</v>
      </c>
      <c r="BM19" s="103">
        <v>0</v>
      </c>
      <c r="BN19" s="103">
        <v>0</v>
      </c>
      <c r="BO19" s="103">
        <v>1</v>
      </c>
      <c r="BP19" s="103">
        <v>0</v>
      </c>
      <c r="BQ19" s="103">
        <v>0</v>
      </c>
      <c r="BR19" s="103">
        <v>0</v>
      </c>
      <c r="BS19" s="103">
        <v>1</v>
      </c>
      <c r="BT19" s="103">
        <v>0</v>
      </c>
      <c r="BU19" s="103">
        <v>0</v>
      </c>
      <c r="BV19" s="103">
        <v>0</v>
      </c>
      <c r="BW19" s="103">
        <v>0</v>
      </c>
      <c r="BX19" s="103">
        <v>0</v>
      </c>
      <c r="BY19" s="103">
        <v>0</v>
      </c>
      <c r="BZ19" s="103">
        <v>0</v>
      </c>
      <c r="CA19" s="103">
        <v>0</v>
      </c>
      <c r="CB19" s="103">
        <v>0</v>
      </c>
      <c r="CC19" s="103">
        <v>0</v>
      </c>
      <c r="CD19" s="103">
        <v>1</v>
      </c>
      <c r="CE19" s="103">
        <v>0</v>
      </c>
      <c r="CF19" s="103">
        <v>0</v>
      </c>
      <c r="CG19" s="103">
        <v>0</v>
      </c>
      <c r="CH19" s="103">
        <v>0</v>
      </c>
      <c r="CI19" s="103">
        <v>0</v>
      </c>
      <c r="CJ19" s="103">
        <v>0</v>
      </c>
      <c r="CK19" s="103">
        <v>0</v>
      </c>
      <c r="CL19" s="103">
        <v>0</v>
      </c>
      <c r="CM19" s="103">
        <v>0</v>
      </c>
      <c r="CN19" s="103">
        <v>0</v>
      </c>
      <c r="CO19" s="103">
        <v>0</v>
      </c>
      <c r="CP19" s="103">
        <v>0</v>
      </c>
      <c r="CQ19" s="103">
        <v>0</v>
      </c>
      <c r="CR19" s="103">
        <v>0</v>
      </c>
      <c r="CS19" s="103">
        <v>0</v>
      </c>
      <c r="CT19" s="103">
        <v>0</v>
      </c>
      <c r="CU19" s="103">
        <v>1</v>
      </c>
      <c r="CV19" s="103">
        <v>0</v>
      </c>
      <c r="CW19" s="103">
        <v>0</v>
      </c>
      <c r="CX19" s="103">
        <v>0</v>
      </c>
      <c r="CY19" s="103">
        <v>0</v>
      </c>
      <c r="CZ19" s="103">
        <v>0</v>
      </c>
      <c r="DA19" s="103">
        <v>0</v>
      </c>
      <c r="DB19" s="103">
        <v>0</v>
      </c>
      <c r="DC19" s="103">
        <v>1</v>
      </c>
      <c r="DD19" s="103">
        <v>0</v>
      </c>
      <c r="DE19" s="103">
        <v>0</v>
      </c>
      <c r="DF19" s="103">
        <v>0</v>
      </c>
      <c r="DG19" s="103">
        <v>0</v>
      </c>
      <c r="DH19" s="103">
        <v>0</v>
      </c>
      <c r="DI19" s="103">
        <v>0</v>
      </c>
      <c r="DJ19" s="103">
        <v>0</v>
      </c>
      <c r="DK19" s="103">
        <v>0</v>
      </c>
      <c r="DL19" s="103">
        <v>0</v>
      </c>
      <c r="DM19" s="103">
        <v>0</v>
      </c>
      <c r="DN19" s="103">
        <v>0</v>
      </c>
      <c r="DO19" s="103">
        <v>0</v>
      </c>
      <c r="DP19" s="103">
        <v>1</v>
      </c>
      <c r="DQ19" s="103">
        <v>0</v>
      </c>
      <c r="DR19" s="103">
        <v>0</v>
      </c>
      <c r="DS19" s="103">
        <v>0</v>
      </c>
      <c r="DT19" s="103">
        <v>0</v>
      </c>
      <c r="DU19" s="103">
        <v>0</v>
      </c>
      <c r="DV19" s="103">
        <v>0</v>
      </c>
      <c r="DW19" s="103">
        <v>0</v>
      </c>
      <c r="DX19" s="103">
        <v>0</v>
      </c>
      <c r="DY19" s="103">
        <v>0</v>
      </c>
      <c r="DZ19" s="103">
        <v>0</v>
      </c>
      <c r="EA19" s="103">
        <v>0</v>
      </c>
      <c r="EB19" s="103">
        <v>0</v>
      </c>
      <c r="EC19" s="103">
        <v>0</v>
      </c>
      <c r="ED19" s="103">
        <v>0</v>
      </c>
      <c r="EE19" s="103">
        <v>0</v>
      </c>
      <c r="EF19" s="103">
        <v>0</v>
      </c>
      <c r="EG19" s="103">
        <v>0</v>
      </c>
      <c r="EH19" s="103">
        <v>0</v>
      </c>
      <c r="EI19" s="103">
        <v>0</v>
      </c>
      <c r="EJ19" s="103">
        <v>0</v>
      </c>
      <c r="EK19" s="103">
        <v>0</v>
      </c>
      <c r="EL19" s="103">
        <v>0</v>
      </c>
      <c r="EM19" s="103">
        <v>0</v>
      </c>
      <c r="EN19" s="103">
        <v>0</v>
      </c>
      <c r="EO19" s="103">
        <v>0</v>
      </c>
      <c r="EP19" s="103">
        <v>0</v>
      </c>
      <c r="EQ19" s="103">
        <v>0</v>
      </c>
      <c r="ER19" s="103">
        <v>1</v>
      </c>
      <c r="ES19" s="103">
        <v>0</v>
      </c>
      <c r="ET19" s="103">
        <v>0</v>
      </c>
      <c r="EU19" s="103">
        <v>0</v>
      </c>
      <c r="EV19" s="103">
        <v>0</v>
      </c>
      <c r="EW19" s="103">
        <v>0</v>
      </c>
      <c r="EX19" s="103">
        <v>0</v>
      </c>
      <c r="EY19" s="103">
        <v>0</v>
      </c>
      <c r="EZ19" s="103">
        <v>0</v>
      </c>
      <c r="FA19" s="103">
        <v>0</v>
      </c>
      <c r="FB19" s="103">
        <v>0</v>
      </c>
      <c r="FC19" s="103">
        <v>0</v>
      </c>
      <c r="FD19" s="103">
        <v>0</v>
      </c>
      <c r="FE19" s="103">
        <v>0</v>
      </c>
      <c r="FF19" s="103">
        <v>0</v>
      </c>
      <c r="FG19" s="103">
        <v>0</v>
      </c>
      <c r="FH19" s="103">
        <v>0</v>
      </c>
      <c r="FI19" s="103">
        <v>0</v>
      </c>
      <c r="FJ19" s="103">
        <v>0</v>
      </c>
      <c r="FK19" s="103">
        <v>0</v>
      </c>
      <c r="FL19" s="103">
        <v>0</v>
      </c>
      <c r="FM19" s="103">
        <v>0</v>
      </c>
      <c r="FN19" s="103">
        <v>0</v>
      </c>
      <c r="FO19" s="103">
        <v>0</v>
      </c>
    </row>
    <row r="20" spans="1:171" s="161" customFormat="1" ht="14.45" x14ac:dyDescent="0.3">
      <c r="A20" s="149" t="s">
        <v>29</v>
      </c>
      <c r="B20" s="150" t="s">
        <v>135</v>
      </c>
      <c r="C20" s="150" t="s">
        <v>129</v>
      </c>
      <c r="D20" s="150"/>
      <c r="E20" s="170" t="s">
        <v>440</v>
      </c>
      <c r="F20" s="151"/>
      <c r="G20" s="151"/>
      <c r="H20" s="151" t="s">
        <v>34</v>
      </c>
      <c r="I20" s="152">
        <v>7</v>
      </c>
      <c r="J20" s="152">
        <v>7</v>
      </c>
      <c r="K20" s="153">
        <v>7</v>
      </c>
      <c r="L20" s="154">
        <v>7</v>
      </c>
      <c r="M20" s="155">
        <v>115</v>
      </c>
      <c r="N20" s="156">
        <v>1350</v>
      </c>
      <c r="O20" s="78">
        <v>9.1</v>
      </c>
      <c r="P20" s="156">
        <v>25</v>
      </c>
      <c r="Q20" s="156">
        <v>0</v>
      </c>
      <c r="R20" s="156">
        <v>0</v>
      </c>
      <c r="S20" s="156">
        <v>0</v>
      </c>
      <c r="T20" s="156">
        <v>0</v>
      </c>
      <c r="U20" s="156">
        <v>0</v>
      </c>
      <c r="V20" s="156">
        <v>0</v>
      </c>
      <c r="W20" s="156">
        <v>0</v>
      </c>
      <c r="X20" s="156">
        <v>0</v>
      </c>
      <c r="Y20" s="156">
        <v>0</v>
      </c>
      <c r="Z20" s="156">
        <v>0</v>
      </c>
      <c r="AA20" s="156">
        <v>0</v>
      </c>
      <c r="AB20" s="156">
        <v>0</v>
      </c>
      <c r="AC20" s="156">
        <v>1</v>
      </c>
      <c r="AD20" s="157" t="s">
        <v>32</v>
      </c>
      <c r="AE20" s="156">
        <v>1</v>
      </c>
      <c r="AF20" s="158">
        <v>0</v>
      </c>
      <c r="AG20" s="159">
        <v>750</v>
      </c>
      <c r="AH20" s="160">
        <v>705</v>
      </c>
      <c r="AI20" s="156">
        <v>13</v>
      </c>
      <c r="AJ20" s="156">
        <v>0</v>
      </c>
      <c r="AK20" s="156">
        <v>22</v>
      </c>
      <c r="AL20" s="156">
        <v>10</v>
      </c>
      <c r="AM20" s="156">
        <v>0</v>
      </c>
      <c r="AN20" s="156">
        <v>0</v>
      </c>
      <c r="AO20" s="162">
        <v>132</v>
      </c>
      <c r="AP20" s="163">
        <v>3.2000000000000001E-2</v>
      </c>
      <c r="AQ20" s="164">
        <v>5</v>
      </c>
      <c r="AR20" s="103">
        <v>0</v>
      </c>
      <c r="AS20" s="103">
        <v>0</v>
      </c>
      <c r="AT20" s="103">
        <v>0</v>
      </c>
      <c r="AU20" s="103">
        <v>0</v>
      </c>
      <c r="AV20" s="103">
        <v>0</v>
      </c>
      <c r="AW20" s="103">
        <v>0</v>
      </c>
      <c r="AX20" s="103">
        <v>0</v>
      </c>
      <c r="AY20" s="103">
        <v>0</v>
      </c>
      <c r="AZ20" s="103">
        <v>0</v>
      </c>
      <c r="BA20" s="103">
        <v>0</v>
      </c>
      <c r="BB20" s="103">
        <v>0</v>
      </c>
      <c r="BC20" s="103">
        <v>0</v>
      </c>
      <c r="BD20" s="103">
        <v>0</v>
      </c>
      <c r="BE20" s="103">
        <v>0</v>
      </c>
      <c r="BF20" s="103">
        <v>0</v>
      </c>
      <c r="BG20" s="103">
        <v>0</v>
      </c>
      <c r="BH20" s="103">
        <v>0</v>
      </c>
      <c r="BI20" s="103">
        <v>0</v>
      </c>
      <c r="BJ20" s="103">
        <v>0</v>
      </c>
      <c r="BK20" s="103">
        <v>0</v>
      </c>
      <c r="BL20" s="103">
        <v>0</v>
      </c>
      <c r="BM20" s="103">
        <v>0</v>
      </c>
      <c r="BN20" s="103">
        <v>0</v>
      </c>
      <c r="BO20" s="103">
        <v>1</v>
      </c>
      <c r="BP20" s="103">
        <v>0</v>
      </c>
      <c r="BQ20" s="103">
        <v>0</v>
      </c>
      <c r="BR20" s="103">
        <v>0</v>
      </c>
      <c r="BS20" s="103">
        <v>1</v>
      </c>
      <c r="BT20" s="103">
        <v>0</v>
      </c>
      <c r="BU20" s="103">
        <v>0</v>
      </c>
      <c r="BV20" s="103">
        <v>0</v>
      </c>
      <c r="BW20" s="103">
        <v>0</v>
      </c>
      <c r="BX20" s="103">
        <v>0</v>
      </c>
      <c r="BY20" s="103">
        <v>0</v>
      </c>
      <c r="BZ20" s="103">
        <v>0</v>
      </c>
      <c r="CA20" s="103">
        <v>0</v>
      </c>
      <c r="CB20" s="103">
        <v>0</v>
      </c>
      <c r="CC20" s="103">
        <v>0</v>
      </c>
      <c r="CD20" s="103">
        <v>1</v>
      </c>
      <c r="CE20" s="103">
        <v>0</v>
      </c>
      <c r="CF20" s="103">
        <v>0</v>
      </c>
      <c r="CG20" s="103">
        <v>0</v>
      </c>
      <c r="CH20" s="103">
        <v>0</v>
      </c>
      <c r="CI20" s="103">
        <v>0</v>
      </c>
      <c r="CJ20" s="103">
        <v>0</v>
      </c>
      <c r="CK20" s="103">
        <v>0</v>
      </c>
      <c r="CL20" s="103">
        <v>0</v>
      </c>
      <c r="CM20" s="103">
        <v>0</v>
      </c>
      <c r="CN20" s="103">
        <v>0</v>
      </c>
      <c r="CO20" s="103">
        <v>0</v>
      </c>
      <c r="CP20" s="103">
        <v>0</v>
      </c>
      <c r="CQ20" s="103">
        <v>0</v>
      </c>
      <c r="CR20" s="103">
        <v>0</v>
      </c>
      <c r="CS20" s="103">
        <v>0</v>
      </c>
      <c r="CT20" s="103">
        <v>0</v>
      </c>
      <c r="CU20" s="103">
        <v>1</v>
      </c>
      <c r="CV20" s="103">
        <v>0</v>
      </c>
      <c r="CW20" s="103">
        <v>0</v>
      </c>
      <c r="CX20" s="103">
        <v>0</v>
      </c>
      <c r="CY20" s="103">
        <v>0</v>
      </c>
      <c r="CZ20" s="103">
        <v>0</v>
      </c>
      <c r="DA20" s="103">
        <v>0</v>
      </c>
      <c r="DB20" s="103">
        <v>0</v>
      </c>
      <c r="DC20" s="103">
        <v>1</v>
      </c>
      <c r="DD20" s="103">
        <v>0</v>
      </c>
      <c r="DE20" s="103">
        <v>0</v>
      </c>
      <c r="DF20" s="103">
        <v>0</v>
      </c>
      <c r="DG20" s="103">
        <v>0</v>
      </c>
      <c r="DH20" s="103">
        <v>0</v>
      </c>
      <c r="DI20" s="103">
        <v>0</v>
      </c>
      <c r="DJ20" s="103">
        <v>0</v>
      </c>
      <c r="DK20" s="103">
        <v>0</v>
      </c>
      <c r="DL20" s="103">
        <v>0</v>
      </c>
      <c r="DM20" s="103">
        <v>0</v>
      </c>
      <c r="DN20" s="103">
        <v>0</v>
      </c>
      <c r="DO20" s="103">
        <v>0</v>
      </c>
      <c r="DP20" s="103">
        <v>1</v>
      </c>
      <c r="DQ20" s="103">
        <v>0</v>
      </c>
      <c r="DR20" s="103">
        <v>0</v>
      </c>
      <c r="DS20" s="103">
        <v>0</v>
      </c>
      <c r="DT20" s="103">
        <v>0</v>
      </c>
      <c r="DU20" s="103">
        <v>0</v>
      </c>
      <c r="DV20" s="103">
        <v>0</v>
      </c>
      <c r="DW20" s="103">
        <v>0</v>
      </c>
      <c r="DX20" s="103">
        <v>0</v>
      </c>
      <c r="DY20" s="103">
        <v>0</v>
      </c>
      <c r="DZ20" s="103">
        <v>0</v>
      </c>
      <c r="EA20" s="103">
        <v>0</v>
      </c>
      <c r="EB20" s="103">
        <v>0</v>
      </c>
      <c r="EC20" s="103">
        <v>0</v>
      </c>
      <c r="ED20" s="103">
        <v>0</v>
      </c>
      <c r="EE20" s="103">
        <v>0</v>
      </c>
      <c r="EF20" s="103">
        <v>0</v>
      </c>
      <c r="EG20" s="103">
        <v>0</v>
      </c>
      <c r="EH20" s="103">
        <v>0</v>
      </c>
      <c r="EI20" s="103">
        <v>0</v>
      </c>
      <c r="EJ20" s="103">
        <v>0</v>
      </c>
      <c r="EK20" s="103">
        <v>0</v>
      </c>
      <c r="EL20" s="103">
        <v>0</v>
      </c>
      <c r="EM20" s="103">
        <v>0</v>
      </c>
      <c r="EN20" s="103">
        <v>0</v>
      </c>
      <c r="EO20" s="103">
        <v>0</v>
      </c>
      <c r="EP20" s="103">
        <v>0</v>
      </c>
      <c r="EQ20" s="103">
        <v>0</v>
      </c>
      <c r="ER20" s="103">
        <v>1</v>
      </c>
      <c r="ES20" s="103">
        <v>0</v>
      </c>
      <c r="ET20" s="103">
        <v>0</v>
      </c>
      <c r="EU20" s="103">
        <v>0</v>
      </c>
      <c r="EV20" s="103">
        <v>0</v>
      </c>
      <c r="EW20" s="103">
        <v>0</v>
      </c>
      <c r="EX20" s="103">
        <v>0</v>
      </c>
      <c r="EY20" s="103">
        <v>0</v>
      </c>
      <c r="EZ20" s="103">
        <v>0</v>
      </c>
      <c r="FA20" s="103">
        <v>0</v>
      </c>
      <c r="FB20" s="103">
        <v>0</v>
      </c>
      <c r="FC20" s="103">
        <v>0</v>
      </c>
      <c r="FD20" s="103">
        <v>0</v>
      </c>
      <c r="FE20" s="103">
        <v>0</v>
      </c>
      <c r="FF20" s="103">
        <v>0</v>
      </c>
      <c r="FG20" s="103">
        <v>0</v>
      </c>
      <c r="FH20" s="103">
        <v>0</v>
      </c>
      <c r="FI20" s="103">
        <v>0</v>
      </c>
      <c r="FJ20" s="103">
        <v>0</v>
      </c>
      <c r="FK20" s="103">
        <v>0</v>
      </c>
      <c r="FL20" s="103">
        <v>0</v>
      </c>
      <c r="FM20" s="103">
        <v>0</v>
      </c>
      <c r="FN20" s="103">
        <v>0</v>
      </c>
      <c r="FO20" s="103">
        <v>0</v>
      </c>
    </row>
    <row r="21" spans="1:171" s="196" customFormat="1" ht="14.45" x14ac:dyDescent="0.3">
      <c r="A21" s="188" t="s">
        <v>29</v>
      </c>
      <c r="B21" s="189" t="s">
        <v>444</v>
      </c>
      <c r="C21" s="189"/>
      <c r="D21" s="189" t="s">
        <v>443</v>
      </c>
      <c r="E21" s="171" t="s">
        <v>453</v>
      </c>
      <c r="F21" s="190"/>
      <c r="G21" s="190"/>
      <c r="H21" s="190" t="s">
        <v>34</v>
      </c>
      <c r="I21" s="191">
        <v>6</v>
      </c>
      <c r="J21" s="191">
        <v>8</v>
      </c>
      <c r="K21" s="189">
        <v>8</v>
      </c>
      <c r="L21" s="189">
        <v>8</v>
      </c>
      <c r="M21" s="189">
        <v>115</v>
      </c>
      <c r="N21" s="192">
        <v>1850</v>
      </c>
      <c r="O21" s="171">
        <v>9.1</v>
      </c>
      <c r="P21" s="192">
        <v>25</v>
      </c>
      <c r="Q21" s="192">
        <v>0</v>
      </c>
      <c r="R21" s="192">
        <v>0</v>
      </c>
      <c r="S21" s="192">
        <v>0</v>
      </c>
      <c r="T21" s="192">
        <v>0</v>
      </c>
      <c r="U21" s="192">
        <v>0</v>
      </c>
      <c r="V21" s="192">
        <v>0</v>
      </c>
      <c r="W21" s="192">
        <v>0</v>
      </c>
      <c r="X21" s="192">
        <v>0</v>
      </c>
      <c r="Y21" s="192">
        <v>1</v>
      </c>
      <c r="Z21" s="192">
        <v>1</v>
      </c>
      <c r="AA21" s="192">
        <v>0</v>
      </c>
      <c r="AB21" s="192">
        <v>0</v>
      </c>
      <c r="AC21" s="192">
        <v>1</v>
      </c>
      <c r="AD21" s="193" t="s">
        <v>32</v>
      </c>
      <c r="AE21" s="192">
        <v>1</v>
      </c>
      <c r="AF21" s="194">
        <v>0</v>
      </c>
      <c r="AG21" s="189">
        <v>675</v>
      </c>
      <c r="AH21" s="189">
        <v>630</v>
      </c>
      <c r="AI21" s="192">
        <v>13</v>
      </c>
      <c r="AJ21" s="192">
        <v>0</v>
      </c>
      <c r="AK21" s="192">
        <v>17</v>
      </c>
      <c r="AL21" s="192">
        <v>11</v>
      </c>
      <c r="AM21" s="192">
        <v>0</v>
      </c>
      <c r="AN21" s="192">
        <v>1</v>
      </c>
      <c r="AO21" s="192">
        <v>132</v>
      </c>
      <c r="AP21" s="195">
        <v>3.2000000000000001E-2</v>
      </c>
      <c r="AQ21" s="189">
        <v>5</v>
      </c>
      <c r="AR21" s="187">
        <v>0</v>
      </c>
      <c r="AS21" s="187">
        <v>0</v>
      </c>
      <c r="AT21" s="187">
        <v>0</v>
      </c>
      <c r="AU21" s="187">
        <v>0</v>
      </c>
      <c r="AV21" s="187">
        <v>0</v>
      </c>
      <c r="AW21" s="187">
        <v>0</v>
      </c>
      <c r="AX21" s="187">
        <v>0</v>
      </c>
      <c r="AY21" s="187">
        <v>0</v>
      </c>
      <c r="AZ21" s="187">
        <v>0</v>
      </c>
      <c r="BA21" s="187">
        <v>0</v>
      </c>
      <c r="BB21" s="187">
        <v>0</v>
      </c>
      <c r="BC21" s="187">
        <v>0</v>
      </c>
      <c r="BD21" s="187">
        <v>0</v>
      </c>
      <c r="BE21" s="187">
        <v>0</v>
      </c>
      <c r="BF21" s="187">
        <v>0</v>
      </c>
      <c r="BG21" s="187">
        <v>0</v>
      </c>
      <c r="BH21" s="187">
        <v>0</v>
      </c>
      <c r="BI21" s="187">
        <v>0</v>
      </c>
      <c r="BJ21" s="187">
        <v>0</v>
      </c>
      <c r="BK21" s="187">
        <v>0</v>
      </c>
      <c r="BL21" s="187">
        <v>0</v>
      </c>
      <c r="BM21" s="187">
        <v>0</v>
      </c>
      <c r="BN21" s="187">
        <v>0</v>
      </c>
      <c r="BO21" s="187">
        <v>1</v>
      </c>
      <c r="BP21" s="187">
        <v>0</v>
      </c>
      <c r="BQ21" s="187">
        <v>0</v>
      </c>
      <c r="BR21" s="187">
        <v>0</v>
      </c>
      <c r="BS21" s="187">
        <v>1</v>
      </c>
      <c r="BT21" s="187">
        <v>0</v>
      </c>
      <c r="BU21" s="187">
        <v>0</v>
      </c>
      <c r="BV21" s="187">
        <v>0</v>
      </c>
      <c r="BW21" s="187">
        <v>0</v>
      </c>
      <c r="BX21" s="187">
        <v>0</v>
      </c>
      <c r="BY21" s="187">
        <v>0</v>
      </c>
      <c r="BZ21" s="187">
        <v>0</v>
      </c>
      <c r="CA21" s="187">
        <v>0</v>
      </c>
      <c r="CB21" s="187">
        <v>0</v>
      </c>
      <c r="CC21" s="187">
        <v>0</v>
      </c>
      <c r="CD21" s="187">
        <v>1</v>
      </c>
      <c r="CE21" s="187">
        <v>0</v>
      </c>
      <c r="CF21" s="187">
        <v>0</v>
      </c>
      <c r="CG21" s="187">
        <v>0</v>
      </c>
      <c r="CH21" s="187">
        <v>0</v>
      </c>
      <c r="CI21" s="187">
        <v>0</v>
      </c>
      <c r="CJ21" s="187">
        <v>0</v>
      </c>
      <c r="CK21" s="187">
        <v>0</v>
      </c>
      <c r="CL21" s="187">
        <v>0</v>
      </c>
      <c r="CM21" s="187">
        <v>0</v>
      </c>
      <c r="CN21" s="187">
        <v>0</v>
      </c>
      <c r="CO21" s="187">
        <v>0</v>
      </c>
      <c r="CP21" s="187">
        <v>0</v>
      </c>
      <c r="CQ21" s="187">
        <v>0</v>
      </c>
      <c r="CR21" s="187">
        <v>0</v>
      </c>
      <c r="CS21" s="187">
        <v>0</v>
      </c>
      <c r="CT21" s="187">
        <v>0</v>
      </c>
      <c r="CU21" s="187">
        <v>1</v>
      </c>
      <c r="CV21" s="187">
        <v>0</v>
      </c>
      <c r="CW21" s="187">
        <v>0</v>
      </c>
      <c r="CX21" s="187">
        <v>0</v>
      </c>
      <c r="CY21" s="187">
        <v>0</v>
      </c>
      <c r="CZ21" s="187">
        <v>0</v>
      </c>
      <c r="DA21" s="187">
        <v>0</v>
      </c>
      <c r="DB21" s="187">
        <v>0</v>
      </c>
      <c r="DC21" s="187">
        <v>1</v>
      </c>
      <c r="DD21" s="187">
        <v>0</v>
      </c>
      <c r="DE21" s="187">
        <v>0</v>
      </c>
      <c r="DF21" s="187">
        <v>0</v>
      </c>
      <c r="DG21" s="187">
        <v>0</v>
      </c>
      <c r="DH21" s="187">
        <v>0</v>
      </c>
      <c r="DI21" s="187">
        <v>0</v>
      </c>
      <c r="DJ21" s="187">
        <v>0</v>
      </c>
      <c r="DK21" s="187">
        <v>0</v>
      </c>
      <c r="DL21" s="187">
        <v>0</v>
      </c>
      <c r="DM21" s="187">
        <v>0</v>
      </c>
      <c r="DN21" s="187">
        <v>0</v>
      </c>
      <c r="DO21" s="187">
        <v>0</v>
      </c>
      <c r="DP21" s="187">
        <v>1</v>
      </c>
      <c r="DQ21" s="187">
        <v>0</v>
      </c>
      <c r="DR21" s="187">
        <v>0</v>
      </c>
      <c r="DS21" s="187">
        <v>0</v>
      </c>
      <c r="DT21" s="187">
        <v>0</v>
      </c>
      <c r="DU21" s="187">
        <v>0</v>
      </c>
      <c r="DV21" s="187">
        <v>0</v>
      </c>
      <c r="DW21" s="187">
        <v>0</v>
      </c>
      <c r="DX21" s="187">
        <v>0</v>
      </c>
      <c r="DY21" s="187">
        <v>0</v>
      </c>
      <c r="DZ21" s="187">
        <v>0</v>
      </c>
      <c r="EA21" s="187">
        <v>0</v>
      </c>
      <c r="EB21" s="187">
        <v>0</v>
      </c>
      <c r="EC21" s="187">
        <v>0</v>
      </c>
      <c r="ED21" s="187">
        <v>0</v>
      </c>
      <c r="EE21" s="187">
        <v>0</v>
      </c>
      <c r="EF21" s="187">
        <v>0</v>
      </c>
      <c r="EG21" s="187">
        <v>0</v>
      </c>
      <c r="EH21" s="187">
        <v>0</v>
      </c>
      <c r="EI21" s="187">
        <v>0</v>
      </c>
      <c r="EJ21" s="187">
        <v>0</v>
      </c>
      <c r="EK21" s="187">
        <v>0</v>
      </c>
      <c r="EL21" s="187">
        <v>0</v>
      </c>
      <c r="EM21" s="187">
        <v>0</v>
      </c>
      <c r="EN21" s="187">
        <v>0</v>
      </c>
      <c r="EO21" s="187">
        <v>0</v>
      </c>
      <c r="EP21" s="187">
        <v>0</v>
      </c>
      <c r="EQ21" s="187">
        <v>0</v>
      </c>
      <c r="ER21" s="187">
        <v>1</v>
      </c>
      <c r="ES21" s="187">
        <v>0</v>
      </c>
      <c r="ET21" s="187">
        <v>0</v>
      </c>
      <c r="EU21" s="187">
        <v>0</v>
      </c>
      <c r="EV21" s="187">
        <v>0</v>
      </c>
      <c r="EW21" s="187">
        <v>0</v>
      </c>
      <c r="EX21" s="187">
        <v>0</v>
      </c>
      <c r="EY21" s="187">
        <v>0</v>
      </c>
      <c r="EZ21" s="187">
        <v>0</v>
      </c>
      <c r="FA21" s="187">
        <v>0</v>
      </c>
      <c r="FB21" s="187">
        <v>0</v>
      </c>
      <c r="FC21" s="187">
        <v>0</v>
      </c>
      <c r="FD21" s="187">
        <v>0</v>
      </c>
      <c r="FE21" s="187">
        <v>0</v>
      </c>
      <c r="FF21" s="187">
        <v>0</v>
      </c>
      <c r="FG21" s="187">
        <v>0</v>
      </c>
      <c r="FH21" s="187">
        <v>0</v>
      </c>
      <c r="FI21" s="187">
        <v>0</v>
      </c>
      <c r="FJ21" s="187">
        <v>0</v>
      </c>
      <c r="FK21" s="187">
        <v>0</v>
      </c>
      <c r="FL21" s="187">
        <v>0</v>
      </c>
      <c r="FM21" s="187">
        <v>0</v>
      </c>
      <c r="FN21" s="187">
        <v>0</v>
      </c>
      <c r="FO21" s="187">
        <v>0</v>
      </c>
    </row>
    <row r="22" spans="1:171" s="196" customFormat="1" ht="14.45" x14ac:dyDescent="0.3">
      <c r="A22" s="188" t="s">
        <v>29</v>
      </c>
      <c r="B22" s="189" t="s">
        <v>449</v>
      </c>
      <c r="C22" s="189"/>
      <c r="D22" s="189" t="s">
        <v>448</v>
      </c>
      <c r="E22" s="171" t="s">
        <v>455</v>
      </c>
      <c r="F22" s="190"/>
      <c r="G22" s="190"/>
      <c r="H22" s="190" t="s">
        <v>34</v>
      </c>
      <c r="I22" s="191">
        <v>7</v>
      </c>
      <c r="J22" s="191">
        <v>7</v>
      </c>
      <c r="K22" s="189">
        <v>7</v>
      </c>
      <c r="L22" s="189">
        <v>7</v>
      </c>
      <c r="M22" s="189">
        <v>115</v>
      </c>
      <c r="N22" s="192">
        <v>1550</v>
      </c>
      <c r="O22" s="171">
        <v>9.1</v>
      </c>
      <c r="P22" s="192">
        <v>25</v>
      </c>
      <c r="Q22" s="192">
        <v>0</v>
      </c>
      <c r="R22" s="192">
        <v>0</v>
      </c>
      <c r="S22" s="192">
        <v>0</v>
      </c>
      <c r="T22" s="192">
        <v>0</v>
      </c>
      <c r="U22" s="192">
        <v>0</v>
      </c>
      <c r="V22" s="192">
        <v>0</v>
      </c>
      <c r="W22" s="192">
        <v>0</v>
      </c>
      <c r="X22" s="192">
        <v>0</v>
      </c>
      <c r="Y22" s="192">
        <v>1</v>
      </c>
      <c r="Z22" s="192">
        <v>1</v>
      </c>
      <c r="AA22" s="192">
        <v>0</v>
      </c>
      <c r="AB22" s="192">
        <v>0</v>
      </c>
      <c r="AC22" s="192">
        <v>1</v>
      </c>
      <c r="AD22" s="193" t="s">
        <v>32</v>
      </c>
      <c r="AE22" s="192">
        <v>1</v>
      </c>
      <c r="AF22" s="194">
        <v>0</v>
      </c>
      <c r="AG22" s="189">
        <v>750</v>
      </c>
      <c r="AH22" s="189">
        <v>705</v>
      </c>
      <c r="AI22" s="192">
        <v>13</v>
      </c>
      <c r="AJ22" s="192">
        <v>0</v>
      </c>
      <c r="AK22" s="192">
        <v>22</v>
      </c>
      <c r="AL22" s="192">
        <v>10</v>
      </c>
      <c r="AM22" s="192">
        <v>0</v>
      </c>
      <c r="AN22" s="192">
        <v>1</v>
      </c>
      <c r="AO22" s="192">
        <v>132</v>
      </c>
      <c r="AP22" s="195">
        <v>3.2000000000000001E-2</v>
      </c>
      <c r="AQ22" s="189">
        <v>5</v>
      </c>
      <c r="AR22" s="187">
        <v>0</v>
      </c>
      <c r="AS22" s="187">
        <v>0</v>
      </c>
      <c r="AT22" s="187">
        <v>0</v>
      </c>
      <c r="AU22" s="187">
        <v>0</v>
      </c>
      <c r="AV22" s="187">
        <v>0</v>
      </c>
      <c r="AW22" s="187">
        <v>0</v>
      </c>
      <c r="AX22" s="187">
        <v>0</v>
      </c>
      <c r="AY22" s="187">
        <v>0</v>
      </c>
      <c r="AZ22" s="187">
        <v>0</v>
      </c>
      <c r="BA22" s="187">
        <v>0</v>
      </c>
      <c r="BB22" s="187">
        <v>0</v>
      </c>
      <c r="BC22" s="187">
        <v>0</v>
      </c>
      <c r="BD22" s="187">
        <v>0</v>
      </c>
      <c r="BE22" s="187">
        <v>0</v>
      </c>
      <c r="BF22" s="187">
        <v>0</v>
      </c>
      <c r="BG22" s="187">
        <v>0</v>
      </c>
      <c r="BH22" s="187">
        <v>0</v>
      </c>
      <c r="BI22" s="187">
        <v>0</v>
      </c>
      <c r="BJ22" s="187">
        <v>0</v>
      </c>
      <c r="BK22" s="187">
        <v>0</v>
      </c>
      <c r="BL22" s="187">
        <v>0</v>
      </c>
      <c r="BM22" s="187">
        <v>0</v>
      </c>
      <c r="BN22" s="187">
        <v>0</v>
      </c>
      <c r="BO22" s="187">
        <v>1</v>
      </c>
      <c r="BP22" s="187">
        <v>0</v>
      </c>
      <c r="BQ22" s="187">
        <v>0</v>
      </c>
      <c r="BR22" s="187">
        <v>0</v>
      </c>
      <c r="BS22" s="187">
        <v>1</v>
      </c>
      <c r="BT22" s="187">
        <v>0</v>
      </c>
      <c r="BU22" s="187">
        <v>0</v>
      </c>
      <c r="BV22" s="187">
        <v>0</v>
      </c>
      <c r="BW22" s="187">
        <v>0</v>
      </c>
      <c r="BX22" s="187">
        <v>0</v>
      </c>
      <c r="BY22" s="187">
        <v>0</v>
      </c>
      <c r="BZ22" s="187">
        <v>0</v>
      </c>
      <c r="CA22" s="187">
        <v>0</v>
      </c>
      <c r="CB22" s="187">
        <v>0</v>
      </c>
      <c r="CC22" s="187">
        <v>0</v>
      </c>
      <c r="CD22" s="187">
        <v>1</v>
      </c>
      <c r="CE22" s="187">
        <v>0</v>
      </c>
      <c r="CF22" s="187">
        <v>0</v>
      </c>
      <c r="CG22" s="187">
        <v>0</v>
      </c>
      <c r="CH22" s="187">
        <v>0</v>
      </c>
      <c r="CI22" s="187">
        <v>0</v>
      </c>
      <c r="CJ22" s="187">
        <v>0</v>
      </c>
      <c r="CK22" s="187">
        <v>0</v>
      </c>
      <c r="CL22" s="187">
        <v>0</v>
      </c>
      <c r="CM22" s="187">
        <v>0</v>
      </c>
      <c r="CN22" s="187">
        <v>0</v>
      </c>
      <c r="CO22" s="187">
        <v>0</v>
      </c>
      <c r="CP22" s="187">
        <v>0</v>
      </c>
      <c r="CQ22" s="187">
        <v>0</v>
      </c>
      <c r="CR22" s="187">
        <v>0</v>
      </c>
      <c r="CS22" s="187">
        <v>0</v>
      </c>
      <c r="CT22" s="187">
        <v>0</v>
      </c>
      <c r="CU22" s="187">
        <v>1</v>
      </c>
      <c r="CV22" s="187">
        <v>0</v>
      </c>
      <c r="CW22" s="187">
        <v>0</v>
      </c>
      <c r="CX22" s="187">
        <v>0</v>
      </c>
      <c r="CY22" s="187">
        <v>0</v>
      </c>
      <c r="CZ22" s="187">
        <v>0</v>
      </c>
      <c r="DA22" s="187">
        <v>0</v>
      </c>
      <c r="DB22" s="187">
        <v>0</v>
      </c>
      <c r="DC22" s="187">
        <v>1</v>
      </c>
      <c r="DD22" s="187">
        <v>0</v>
      </c>
      <c r="DE22" s="187">
        <v>0</v>
      </c>
      <c r="DF22" s="187">
        <v>0</v>
      </c>
      <c r="DG22" s="187">
        <v>0</v>
      </c>
      <c r="DH22" s="187">
        <v>0</v>
      </c>
      <c r="DI22" s="187">
        <v>0</v>
      </c>
      <c r="DJ22" s="187">
        <v>0</v>
      </c>
      <c r="DK22" s="187">
        <v>0</v>
      </c>
      <c r="DL22" s="187">
        <v>0</v>
      </c>
      <c r="DM22" s="187">
        <v>0</v>
      </c>
      <c r="DN22" s="187">
        <v>0</v>
      </c>
      <c r="DO22" s="187">
        <v>0</v>
      </c>
      <c r="DP22" s="187">
        <v>1</v>
      </c>
      <c r="DQ22" s="187">
        <v>0</v>
      </c>
      <c r="DR22" s="187">
        <v>0</v>
      </c>
      <c r="DS22" s="187">
        <v>0</v>
      </c>
      <c r="DT22" s="187">
        <v>0</v>
      </c>
      <c r="DU22" s="187">
        <v>0</v>
      </c>
      <c r="DV22" s="187">
        <v>0</v>
      </c>
      <c r="DW22" s="187">
        <v>0</v>
      </c>
      <c r="DX22" s="187">
        <v>0</v>
      </c>
      <c r="DY22" s="187">
        <v>0</v>
      </c>
      <c r="DZ22" s="187">
        <v>0</v>
      </c>
      <c r="EA22" s="187">
        <v>0</v>
      </c>
      <c r="EB22" s="187">
        <v>0</v>
      </c>
      <c r="EC22" s="187">
        <v>0</v>
      </c>
      <c r="ED22" s="187">
        <v>0</v>
      </c>
      <c r="EE22" s="187">
        <v>0</v>
      </c>
      <c r="EF22" s="187">
        <v>0</v>
      </c>
      <c r="EG22" s="187">
        <v>0</v>
      </c>
      <c r="EH22" s="187">
        <v>0</v>
      </c>
      <c r="EI22" s="187">
        <v>0</v>
      </c>
      <c r="EJ22" s="187">
        <v>0</v>
      </c>
      <c r="EK22" s="187">
        <v>0</v>
      </c>
      <c r="EL22" s="187">
        <v>0</v>
      </c>
      <c r="EM22" s="187">
        <v>0</v>
      </c>
      <c r="EN22" s="187">
        <v>0</v>
      </c>
      <c r="EO22" s="187">
        <v>0</v>
      </c>
      <c r="EP22" s="187">
        <v>0</v>
      </c>
      <c r="EQ22" s="187">
        <v>0</v>
      </c>
      <c r="ER22" s="187">
        <v>1</v>
      </c>
      <c r="ES22" s="187">
        <v>0</v>
      </c>
      <c r="ET22" s="187">
        <v>0</v>
      </c>
      <c r="EU22" s="187">
        <v>0</v>
      </c>
      <c r="EV22" s="187">
        <v>1</v>
      </c>
      <c r="EW22" s="187">
        <v>0</v>
      </c>
      <c r="EX22" s="187">
        <v>0</v>
      </c>
      <c r="EY22" s="187">
        <v>1</v>
      </c>
      <c r="EZ22" s="187">
        <v>0</v>
      </c>
      <c r="FA22" s="187">
        <v>0</v>
      </c>
      <c r="FB22" s="187">
        <v>0</v>
      </c>
      <c r="FC22" s="187">
        <v>0</v>
      </c>
      <c r="FD22" s="187">
        <v>0</v>
      </c>
      <c r="FE22" s="187">
        <v>0</v>
      </c>
      <c r="FF22" s="187">
        <v>0</v>
      </c>
      <c r="FG22" s="187">
        <v>0</v>
      </c>
      <c r="FH22" s="187">
        <v>0</v>
      </c>
      <c r="FI22" s="187">
        <v>0</v>
      </c>
      <c r="FJ22" s="187">
        <v>0</v>
      </c>
      <c r="FK22" s="187">
        <v>0</v>
      </c>
      <c r="FL22" s="187">
        <v>0</v>
      </c>
      <c r="FM22" s="187">
        <v>0</v>
      </c>
      <c r="FN22" s="187">
        <v>0</v>
      </c>
      <c r="FO22" s="187">
        <v>0</v>
      </c>
    </row>
    <row r="23" spans="1:171" s="48" customFormat="1" ht="14.45" x14ac:dyDescent="0.3">
      <c r="A23" s="19" t="s">
        <v>30</v>
      </c>
      <c r="B23" s="20"/>
      <c r="C23" s="20"/>
      <c r="D23" s="20"/>
      <c r="E23" s="20"/>
      <c r="F23" s="20"/>
      <c r="G23" s="20"/>
      <c r="H23" s="21"/>
      <c r="I23" s="23"/>
      <c r="J23" s="23"/>
      <c r="K23" s="23"/>
      <c r="L23" s="23"/>
      <c r="M23" s="23"/>
      <c r="N23" s="23"/>
      <c r="O23" s="23"/>
      <c r="P23" s="23"/>
      <c r="Q23" s="144"/>
      <c r="R23" s="16"/>
      <c r="S23" s="16"/>
      <c r="T23" s="16"/>
      <c r="U23" s="16"/>
      <c r="V23" s="16"/>
      <c r="W23" s="16"/>
      <c r="X23" s="16"/>
      <c r="Y23" s="119"/>
      <c r="Z23" s="119"/>
      <c r="AA23" s="119"/>
      <c r="AB23" s="119"/>
      <c r="AC23" s="119"/>
      <c r="AD23" s="119"/>
      <c r="AE23" s="119"/>
      <c r="AF23" s="119"/>
      <c r="AG23" s="144"/>
      <c r="AH23" s="144"/>
      <c r="AI23" s="144"/>
      <c r="AJ23" s="144"/>
      <c r="AK23" s="144"/>
      <c r="AL23" s="144"/>
      <c r="AM23" s="144"/>
      <c r="AN23"/>
      <c r="AO23"/>
      <c r="AP23" s="22"/>
      <c r="AQ23" s="20"/>
      <c r="AR23" s="20"/>
      <c r="AS23" s="20"/>
      <c r="AT23" s="20"/>
      <c r="AU23" s="20"/>
      <c r="AV23" s="20"/>
    </row>
    <row r="24" spans="1:171" ht="14.45" x14ac:dyDescent="0.3">
      <c r="I24" s="23"/>
      <c r="J24" s="23"/>
      <c r="K24" s="23"/>
      <c r="L24" s="23"/>
      <c r="M24" s="23"/>
      <c r="N24" s="23"/>
      <c r="O24" s="23"/>
      <c r="P24" s="23"/>
      <c r="Q24" s="144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"/>
      <c r="AE24" s="16"/>
      <c r="AF24" s="143"/>
      <c r="AG24" s="144"/>
      <c r="AH24" s="144"/>
      <c r="AI24" s="144"/>
      <c r="AJ24" s="144"/>
      <c r="AK24" s="144"/>
      <c r="AL24" s="144"/>
      <c r="AM24" s="144"/>
    </row>
    <row r="25" spans="1:171" ht="14.45" x14ac:dyDescent="0.3">
      <c r="I25" s="23"/>
      <c r="J25" s="23"/>
      <c r="K25" s="23"/>
      <c r="L25" s="23"/>
      <c r="M25" s="23"/>
      <c r="N25" s="23"/>
      <c r="O25" s="23"/>
      <c r="P25" s="23"/>
      <c r="Q25" s="144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43"/>
      <c r="AG25" s="144"/>
      <c r="AH25" s="144"/>
      <c r="AI25" s="144"/>
      <c r="AJ25" s="144"/>
      <c r="AK25" s="144"/>
      <c r="AL25" s="144"/>
      <c r="AM25" s="144"/>
    </row>
    <row r="26" spans="1:171" ht="14.45" x14ac:dyDescent="0.3">
      <c r="I26" s="23"/>
      <c r="J26" s="23"/>
      <c r="K26" s="23"/>
      <c r="L26" s="23"/>
      <c r="M26" s="23"/>
      <c r="N26" s="23"/>
      <c r="O26" s="23"/>
      <c r="P26" s="23"/>
      <c r="Q26" s="144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"/>
      <c r="AE26" s="16"/>
      <c r="AF26" s="143"/>
      <c r="AG26" s="144"/>
      <c r="AH26" s="144"/>
      <c r="AI26" s="144"/>
      <c r="AJ26" s="144"/>
      <c r="AK26" s="144"/>
      <c r="AL26" s="144"/>
      <c r="AM26" s="144"/>
    </row>
    <row r="27" spans="1:171" ht="14.45" x14ac:dyDescent="0.3">
      <c r="I27" s="23"/>
      <c r="J27" s="23"/>
      <c r="K27" s="23"/>
      <c r="L27" s="23"/>
      <c r="M27" s="23"/>
      <c r="N27" s="23"/>
      <c r="O27" s="23"/>
      <c r="P27" s="23"/>
      <c r="Q27" s="144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"/>
      <c r="AE27" s="16"/>
      <c r="AF27" s="143"/>
      <c r="AG27" s="144"/>
      <c r="AH27" s="144"/>
      <c r="AI27" s="144"/>
      <c r="AJ27" s="144"/>
      <c r="AK27" s="144"/>
      <c r="AL27" s="144"/>
      <c r="AM27" s="144"/>
    </row>
    <row r="28" spans="1:171" ht="14.45" x14ac:dyDescent="0.3">
      <c r="I28" s="23"/>
      <c r="J28" s="23"/>
      <c r="K28" s="23"/>
      <c r="L28" s="23"/>
      <c r="M28" s="23"/>
      <c r="N28" s="23"/>
      <c r="O28" s="23"/>
      <c r="P28" s="23"/>
      <c r="Q28" s="144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"/>
      <c r="AE28" s="16"/>
      <c r="AF28" s="143"/>
      <c r="AG28" s="144"/>
      <c r="AH28" s="144"/>
      <c r="AI28" s="144"/>
      <c r="AJ28" s="144"/>
      <c r="AK28" s="144"/>
      <c r="AL28" s="144"/>
      <c r="AM28" s="144"/>
    </row>
    <row r="29" spans="1:171" ht="14.45" x14ac:dyDescent="0.3">
      <c r="I29" s="23"/>
      <c r="J29" s="23"/>
      <c r="K29" s="23"/>
      <c r="L29" s="23"/>
      <c r="M29" s="23"/>
      <c r="N29" s="23"/>
      <c r="O29" s="23"/>
      <c r="P29" s="23"/>
      <c r="Q29" s="144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"/>
      <c r="AE29" s="16"/>
      <c r="AF29" s="143"/>
      <c r="AG29" s="144"/>
      <c r="AH29" s="144"/>
      <c r="AI29" s="144"/>
      <c r="AJ29" s="144"/>
      <c r="AK29" s="144"/>
      <c r="AL29" s="144"/>
      <c r="AM29" s="144"/>
    </row>
    <row r="30" spans="1:171" x14ac:dyDescent="0.25">
      <c r="I30" s="23"/>
      <c r="J30" s="23"/>
      <c r="K30" s="23"/>
      <c r="L30" s="23"/>
      <c r="M30" s="23"/>
      <c r="N30" s="23"/>
      <c r="O30" s="23"/>
      <c r="P30" s="23"/>
      <c r="Q30" s="144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"/>
      <c r="AE30" s="16"/>
      <c r="AF30" s="143"/>
      <c r="AG30" s="144"/>
      <c r="AH30" s="144"/>
      <c r="AI30" s="144"/>
      <c r="AJ30" s="144"/>
      <c r="AK30" s="144"/>
      <c r="AL30" s="144"/>
      <c r="AM30" s="144"/>
    </row>
    <row r="31" spans="1:171" x14ac:dyDescent="0.25">
      <c r="I31" s="23"/>
      <c r="J31" s="23"/>
      <c r="K31" s="23"/>
      <c r="L31" s="23"/>
      <c r="M31" s="23"/>
      <c r="N31" s="23"/>
      <c r="O31" s="23"/>
      <c r="P31" s="23"/>
      <c r="Q31" s="144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"/>
      <c r="AE31" s="16"/>
      <c r="AF31" s="143"/>
      <c r="AG31" s="144"/>
      <c r="AH31" s="144"/>
      <c r="AI31" s="144"/>
      <c r="AJ31" s="144"/>
      <c r="AK31" s="144"/>
      <c r="AL31" s="144"/>
      <c r="AM31" s="144"/>
    </row>
    <row r="32" spans="1:171" x14ac:dyDescent="0.25">
      <c r="I32" s="23"/>
      <c r="J32" s="23"/>
      <c r="K32" s="23"/>
      <c r="L32" s="23"/>
      <c r="M32" s="23"/>
      <c r="N32" s="23"/>
      <c r="O32" s="23"/>
      <c r="P32" s="23"/>
      <c r="Q32" s="144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"/>
      <c r="AE32" s="16"/>
      <c r="AF32" s="143"/>
      <c r="AG32" s="144"/>
      <c r="AH32" s="144"/>
      <c r="AI32" s="144"/>
      <c r="AJ32" s="144"/>
      <c r="AK32" s="144"/>
      <c r="AL32" s="144"/>
      <c r="AM32" s="144"/>
    </row>
    <row r="33" spans="9:39" x14ac:dyDescent="0.25">
      <c r="I33" s="23"/>
      <c r="J33" s="23"/>
      <c r="K33" s="23"/>
      <c r="L33" s="23"/>
      <c r="M33" s="23"/>
      <c r="N33" s="23"/>
      <c r="O33" s="23"/>
      <c r="P33" s="23"/>
      <c r="Q33" s="144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"/>
      <c r="AE33" s="16"/>
      <c r="AF33" s="143"/>
      <c r="AG33" s="144"/>
      <c r="AH33" s="144"/>
      <c r="AI33" s="144"/>
      <c r="AJ33" s="144"/>
      <c r="AK33" s="144"/>
      <c r="AL33" s="144"/>
      <c r="AM33" s="144"/>
    </row>
    <row r="34" spans="9:39" x14ac:dyDescent="0.25">
      <c r="I34" s="23"/>
      <c r="J34" s="23"/>
      <c r="K34" s="23"/>
      <c r="L34" s="23"/>
      <c r="M34" s="23"/>
      <c r="N34" s="23"/>
      <c r="O34" s="23"/>
      <c r="P34" s="23"/>
      <c r="Q34" s="144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"/>
      <c r="AE34" s="16"/>
      <c r="AF34" s="143"/>
      <c r="AG34" s="144"/>
      <c r="AH34" s="144"/>
      <c r="AI34" s="144"/>
      <c r="AJ34" s="144"/>
      <c r="AK34" s="144"/>
      <c r="AL34" s="144"/>
      <c r="AM34" s="144"/>
    </row>
    <row r="35" spans="9:39" x14ac:dyDescent="0.25">
      <c r="I35" s="23"/>
      <c r="J35" s="23"/>
      <c r="K35" s="23"/>
      <c r="L35" s="23"/>
      <c r="M35" s="23"/>
      <c r="N35" s="23"/>
      <c r="O35" s="23"/>
      <c r="P35" s="23"/>
      <c r="Q35" s="144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"/>
      <c r="AE35" s="16"/>
      <c r="AF35" s="143"/>
      <c r="AG35" s="144"/>
      <c r="AH35" s="144"/>
      <c r="AI35" s="144"/>
      <c r="AJ35" s="144"/>
      <c r="AK35" s="144"/>
      <c r="AL35" s="144"/>
      <c r="AM35" s="144"/>
    </row>
  </sheetData>
  <autoFilter ref="A13:AV35"/>
  <mergeCells count="1">
    <mergeCell ref="C12:E12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O35"/>
  <sheetViews>
    <sheetView zoomScale="70" zoomScaleNormal="70" workbookViewId="0">
      <pane xSplit="10" ySplit="13" topLeftCell="K14" activePane="bottomRight" state="frozen"/>
      <selection pane="topRight" activeCell="K1" sqref="K1"/>
      <selection pane="bottomLeft" activeCell="A14" sqref="A14"/>
      <selection pane="bottomRight" activeCell="B23" sqref="B23"/>
    </sheetView>
  </sheetViews>
  <sheetFormatPr defaultRowHeight="15" x14ac:dyDescent="0.25"/>
  <cols>
    <col min="1" max="1" width="14.28515625" style="126" customWidth="1"/>
    <col min="2" max="2" width="25.140625" style="126" customWidth="1"/>
    <col min="3" max="9" width="9.140625" style="126"/>
    <col min="10" max="10" width="10.7109375" style="126" bestFit="1" customWidth="1"/>
    <col min="11" max="12" width="9.42578125" style="126" bestFit="1" customWidth="1"/>
    <col min="13" max="13" width="6.28515625" style="126" customWidth="1"/>
    <col min="14" max="14" width="5.7109375" style="126" customWidth="1"/>
    <col min="15" max="15" width="6.28515625" style="126" customWidth="1"/>
    <col min="16" max="16" width="8.5703125" style="126" customWidth="1"/>
    <col min="17" max="17" width="8.28515625" style="126" customWidth="1"/>
    <col min="18" max="18" width="10.85546875" style="126" bestFit="1" customWidth="1"/>
    <col min="19" max="19" width="7.85546875" style="126" customWidth="1"/>
    <col min="20" max="20" width="10.140625" style="126" customWidth="1"/>
    <col min="21" max="21" width="8" style="126" customWidth="1"/>
    <col min="22" max="22" width="10.7109375" style="126" bestFit="1" customWidth="1"/>
    <col min="23" max="23" width="9" style="126" bestFit="1" customWidth="1"/>
    <col min="24" max="24" width="10.28515625" style="126" bestFit="1" customWidth="1"/>
    <col min="25" max="25" width="12.28515625" style="126" bestFit="1" customWidth="1"/>
    <col min="26" max="26" width="9.7109375" style="126" bestFit="1" customWidth="1"/>
    <col min="27" max="27" width="10.7109375" style="126" bestFit="1" customWidth="1"/>
    <col min="28" max="28" width="11.5703125" style="126" bestFit="1" customWidth="1"/>
    <col min="29" max="29" width="10.5703125" style="126" bestFit="1" customWidth="1"/>
    <col min="30" max="30" width="11.5703125" style="126" bestFit="1" customWidth="1"/>
    <col min="31" max="31" width="12" style="126" bestFit="1" customWidth="1"/>
    <col min="32" max="32" width="5" style="126" customWidth="1"/>
    <col min="33" max="34" width="10" style="126" bestFit="1" customWidth="1"/>
    <col min="35" max="35" width="12.7109375" style="126" customWidth="1"/>
    <col min="36" max="36" width="7.5703125" style="126" customWidth="1"/>
    <col min="37" max="37" width="8" style="126" customWidth="1"/>
    <col min="38" max="38" width="12.42578125" style="126" customWidth="1"/>
    <col min="39" max="39" width="9.7109375" style="126" bestFit="1" customWidth="1"/>
    <col min="40" max="41" width="8.5703125" style="126" customWidth="1"/>
    <col min="42" max="42" width="10.7109375" style="126" bestFit="1" customWidth="1"/>
    <col min="43" max="43" width="4.28515625" style="126" customWidth="1"/>
    <col min="44" max="44" width="14" style="126" bestFit="1" customWidth="1"/>
    <col min="45" max="45" width="13.5703125" style="126" bestFit="1" customWidth="1"/>
    <col min="46" max="46" width="14" style="126" bestFit="1" customWidth="1"/>
    <col min="47" max="53" width="11.7109375" style="126" bestFit="1" customWidth="1"/>
    <col min="54" max="54" width="12.42578125" style="126" bestFit="1" customWidth="1"/>
    <col min="55" max="55" width="12.28515625" style="126" bestFit="1" customWidth="1"/>
    <col min="56" max="63" width="12.42578125" style="126" bestFit="1" customWidth="1"/>
    <col min="64" max="64" width="13" style="126" bestFit="1" customWidth="1"/>
    <col min="65" max="65" width="12.42578125" style="126" bestFit="1" customWidth="1"/>
    <col min="66" max="74" width="13" style="126" bestFit="1" customWidth="1"/>
    <col min="75" max="75" width="12.42578125" style="126" bestFit="1" customWidth="1"/>
    <col min="76" max="84" width="13" style="126" bestFit="1" customWidth="1"/>
    <col min="85" max="85" width="12.42578125" style="126" bestFit="1" customWidth="1"/>
    <col min="86" max="94" width="13" style="126" bestFit="1" customWidth="1"/>
    <col min="95" max="95" width="12.42578125" style="126" bestFit="1" customWidth="1"/>
    <col min="96" max="104" width="13" style="126" bestFit="1" customWidth="1"/>
    <col min="105" max="105" width="12.42578125" style="126" bestFit="1" customWidth="1"/>
    <col min="106" max="114" width="13" style="126" bestFit="1" customWidth="1"/>
    <col min="115" max="115" width="12.42578125" style="126" bestFit="1" customWidth="1"/>
    <col min="116" max="124" width="13" style="126" bestFit="1" customWidth="1"/>
    <col min="125" max="125" width="12.42578125" style="126" bestFit="1" customWidth="1"/>
    <col min="126" max="134" width="13" style="126" bestFit="1" customWidth="1"/>
    <col min="135" max="135" width="12.42578125" style="126" bestFit="1" customWidth="1"/>
    <col min="136" max="143" width="13" style="126" bestFit="1" customWidth="1"/>
    <col min="144" max="144" width="13.7109375" style="126" bestFit="1" customWidth="1"/>
    <col min="145" max="145" width="13.42578125" style="126" bestFit="1" customWidth="1"/>
    <col min="146" max="148" width="13.7109375" style="126" bestFit="1" customWidth="1"/>
    <col min="149" max="149" width="16.7109375" style="126" bestFit="1" customWidth="1"/>
    <col min="150" max="153" width="13.7109375" style="126" bestFit="1" customWidth="1"/>
    <col min="154" max="154" width="13.42578125" style="126" bestFit="1" customWidth="1"/>
    <col min="155" max="155" width="13.140625" style="126" bestFit="1" customWidth="1"/>
    <col min="156" max="163" width="13.42578125" style="126" bestFit="1" customWidth="1"/>
    <col min="164" max="164" width="13.7109375" style="126" bestFit="1" customWidth="1"/>
    <col min="165" max="165" width="13.42578125" style="126" bestFit="1" customWidth="1"/>
    <col min="166" max="171" width="13.7109375" style="126" bestFit="1" customWidth="1"/>
    <col min="172" max="16384" width="9.140625" style="126"/>
  </cols>
  <sheetData>
    <row r="1" spans="1:171" x14ac:dyDescent="0.25">
      <c r="A1" s="126" t="s">
        <v>97</v>
      </c>
      <c r="B1" s="7"/>
      <c r="C1" s="7"/>
      <c r="D1" s="7"/>
      <c r="E1" s="7"/>
      <c r="F1" s="1"/>
      <c r="G1" s="1"/>
      <c r="H1" s="1"/>
      <c r="I1" s="6"/>
      <c r="J1" s="6"/>
      <c r="AD1" s="1"/>
      <c r="AF1" s="1"/>
    </row>
    <row r="2" spans="1:171" x14ac:dyDescent="0.25">
      <c r="A2" s="126" t="s">
        <v>1</v>
      </c>
      <c r="B2" s="9" t="s">
        <v>459</v>
      </c>
      <c r="C2" s="9"/>
      <c r="D2" s="9"/>
      <c r="E2" s="9"/>
      <c r="F2" s="1"/>
      <c r="G2" s="1"/>
      <c r="H2" s="1"/>
      <c r="I2" s="6"/>
      <c r="J2" s="6"/>
      <c r="AD2" s="1"/>
      <c r="AF2" s="1"/>
    </row>
    <row r="3" spans="1:171" x14ac:dyDescent="0.25">
      <c r="A3" s="126" t="s">
        <v>2</v>
      </c>
      <c r="B3" s="8">
        <f>Hcode_master_list!B3</f>
        <v>43277</v>
      </c>
      <c r="C3" s="8"/>
      <c r="D3" s="8"/>
      <c r="E3" s="8"/>
      <c r="F3" s="1"/>
      <c r="G3" s="1"/>
      <c r="H3" s="1"/>
      <c r="I3" s="6"/>
      <c r="J3" s="6"/>
      <c r="AD3" s="1"/>
      <c r="AF3" s="1"/>
    </row>
    <row r="4" spans="1:171" x14ac:dyDescent="0.25">
      <c r="B4" s="126">
        <v>1</v>
      </c>
      <c r="F4" s="1"/>
      <c r="G4" s="1"/>
      <c r="H4" s="1"/>
      <c r="I4" s="6"/>
      <c r="J4" s="6"/>
      <c r="AD4" s="1"/>
      <c r="AF4" s="1"/>
    </row>
    <row r="5" spans="1:171" x14ac:dyDescent="0.25">
      <c r="A5" s="126" t="s">
        <v>3</v>
      </c>
      <c r="B5" s="126" t="s">
        <v>4</v>
      </c>
      <c r="F5" s="1"/>
      <c r="G5" s="1"/>
      <c r="H5" s="1"/>
      <c r="I5" s="6"/>
      <c r="J5" s="6"/>
      <c r="AD5" s="1"/>
      <c r="AF5" s="1"/>
    </row>
    <row r="6" spans="1:171" x14ac:dyDescent="0.25">
      <c r="A6" s="126" t="s">
        <v>3</v>
      </c>
      <c r="B6" s="126" t="s">
        <v>5</v>
      </c>
      <c r="F6" s="1"/>
      <c r="G6" s="1"/>
      <c r="H6" s="1"/>
      <c r="I6" s="6"/>
      <c r="J6" s="6"/>
      <c r="AD6" s="1"/>
      <c r="AF6" s="1"/>
    </row>
    <row r="7" spans="1:171" x14ac:dyDescent="0.25">
      <c r="A7" s="126" t="s">
        <v>3</v>
      </c>
      <c r="B7" s="126" t="s">
        <v>6</v>
      </c>
      <c r="F7" s="1"/>
      <c r="G7" s="1"/>
      <c r="H7" s="1"/>
      <c r="I7" s="6"/>
      <c r="J7" s="6"/>
      <c r="AD7" s="1"/>
      <c r="AF7" s="1"/>
    </row>
    <row r="8" spans="1:171" x14ac:dyDescent="0.25">
      <c r="A8" s="126" t="s">
        <v>3</v>
      </c>
      <c r="B8" s="126" t="s">
        <v>7</v>
      </c>
      <c r="F8" s="1"/>
      <c r="G8" s="1"/>
      <c r="H8" s="1"/>
      <c r="I8" s="6"/>
      <c r="J8" s="6"/>
      <c r="AD8" s="1"/>
      <c r="AF8" s="1"/>
    </row>
    <row r="9" spans="1:171" x14ac:dyDescent="0.25">
      <c r="A9" s="126" t="s">
        <v>3</v>
      </c>
      <c r="B9" s="126" t="s">
        <v>8</v>
      </c>
      <c r="F9" s="1"/>
      <c r="G9" s="1"/>
      <c r="H9" s="1"/>
      <c r="I9" s="6"/>
      <c r="J9" s="6"/>
      <c r="AD9" s="1"/>
      <c r="AF9" s="1"/>
    </row>
    <row r="10" spans="1:171" x14ac:dyDescent="0.25">
      <c r="F10" s="1"/>
      <c r="G10" s="1"/>
      <c r="H10" s="1"/>
      <c r="I10" s="6"/>
      <c r="J10" s="6"/>
      <c r="AD10" s="1"/>
      <c r="AF10" s="1"/>
    </row>
    <row r="11" spans="1:171" x14ac:dyDescent="0.25">
      <c r="A11" s="70" t="s">
        <v>9</v>
      </c>
      <c r="B11" s="170">
        <v>1</v>
      </c>
      <c r="C11" s="170"/>
      <c r="D11" s="170"/>
      <c r="E11" s="170"/>
      <c r="F11" s="77">
        <v>2</v>
      </c>
      <c r="G11" s="77">
        <v>3</v>
      </c>
      <c r="H11" s="77">
        <v>4</v>
      </c>
      <c r="I11" s="77"/>
      <c r="J11" s="77"/>
      <c r="K11" s="72">
        <v>5</v>
      </c>
      <c r="L11" s="73">
        <v>6</v>
      </c>
      <c r="M11" s="78">
        <v>7</v>
      </c>
      <c r="N11" s="78">
        <v>8</v>
      </c>
      <c r="O11" s="78">
        <v>9</v>
      </c>
      <c r="P11" s="78">
        <v>10</v>
      </c>
      <c r="Q11" s="78">
        <v>11</v>
      </c>
      <c r="R11" s="78">
        <v>12</v>
      </c>
      <c r="S11" s="78">
        <v>13</v>
      </c>
      <c r="T11" s="78">
        <v>14</v>
      </c>
      <c r="U11" s="78">
        <v>15</v>
      </c>
      <c r="V11" s="78">
        <v>16</v>
      </c>
      <c r="W11" s="78">
        <v>17</v>
      </c>
      <c r="X11" s="78">
        <v>18</v>
      </c>
      <c r="Y11" s="78">
        <v>19</v>
      </c>
      <c r="Z11" s="78">
        <v>20</v>
      </c>
      <c r="AA11" s="78">
        <v>21</v>
      </c>
      <c r="AB11" s="78">
        <v>22</v>
      </c>
      <c r="AC11" s="78">
        <v>23</v>
      </c>
      <c r="AD11" s="78">
        <v>24</v>
      </c>
      <c r="AE11" s="78">
        <v>25</v>
      </c>
      <c r="AF11" s="78">
        <v>26</v>
      </c>
      <c r="AG11" s="74">
        <v>27</v>
      </c>
      <c r="AH11" s="75">
        <v>28</v>
      </c>
      <c r="AI11" s="96">
        <v>29</v>
      </c>
      <c r="AJ11" s="171">
        <v>30</v>
      </c>
      <c r="AK11" s="96">
        <v>31</v>
      </c>
      <c r="AL11" s="96">
        <v>32</v>
      </c>
      <c r="AM11" s="99">
        <v>33</v>
      </c>
      <c r="AN11" s="99">
        <v>34</v>
      </c>
      <c r="AO11" s="100">
        <v>35</v>
      </c>
      <c r="AP11" s="114">
        <v>42</v>
      </c>
      <c r="AQ11" s="101">
        <v>47</v>
      </c>
    </row>
    <row r="12" spans="1:171" s="49" customFormat="1" ht="30" x14ac:dyDescent="0.25">
      <c r="A12" s="59" t="s">
        <v>10</v>
      </c>
      <c r="B12" s="60" t="s">
        <v>11</v>
      </c>
      <c r="C12" s="201" t="s">
        <v>31</v>
      </c>
      <c r="D12" s="202"/>
      <c r="E12" s="203"/>
      <c r="F12" s="50" t="s">
        <v>31</v>
      </c>
      <c r="G12" s="50" t="s">
        <v>52</v>
      </c>
      <c r="H12" s="61" t="s">
        <v>70</v>
      </c>
      <c r="I12" s="51" t="s">
        <v>76</v>
      </c>
      <c r="J12" s="51" t="s">
        <v>75</v>
      </c>
      <c r="K12" s="62" t="s">
        <v>12</v>
      </c>
      <c r="L12" s="63" t="s">
        <v>13</v>
      </c>
      <c r="M12" s="64" t="s">
        <v>98</v>
      </c>
      <c r="N12" s="64" t="s">
        <v>16</v>
      </c>
      <c r="O12" s="64" t="s">
        <v>72</v>
      </c>
      <c r="P12" s="64" t="s">
        <v>14</v>
      </c>
      <c r="Q12" s="52" t="s">
        <v>35</v>
      </c>
      <c r="R12" s="53" t="s">
        <v>36</v>
      </c>
      <c r="S12" s="52" t="s">
        <v>55</v>
      </c>
      <c r="T12" s="53" t="s">
        <v>37</v>
      </c>
      <c r="U12" s="53" t="s">
        <v>56</v>
      </c>
      <c r="V12" s="53" t="s">
        <v>38</v>
      </c>
      <c r="W12" s="53" t="s">
        <v>39</v>
      </c>
      <c r="X12" s="53" t="s">
        <v>40</v>
      </c>
      <c r="Y12" s="54" t="s">
        <v>54</v>
      </c>
      <c r="Z12" s="54" t="s">
        <v>53</v>
      </c>
      <c r="AA12" s="53" t="s">
        <v>41</v>
      </c>
      <c r="AB12" s="53" t="s">
        <v>42</v>
      </c>
      <c r="AC12" s="53" t="s">
        <v>43</v>
      </c>
      <c r="AD12" s="55" t="s">
        <v>44</v>
      </c>
      <c r="AE12" s="171" t="s">
        <v>402</v>
      </c>
      <c r="AF12" s="56" t="s">
        <v>45</v>
      </c>
      <c r="AG12" s="65" t="s">
        <v>19</v>
      </c>
      <c r="AH12" s="66" t="s">
        <v>20</v>
      </c>
      <c r="AI12" s="54" t="s">
        <v>47</v>
      </c>
      <c r="AJ12" s="53" t="s">
        <v>48</v>
      </c>
      <c r="AK12" s="54" t="s">
        <v>49</v>
      </c>
      <c r="AL12" s="54" t="s">
        <v>50</v>
      </c>
      <c r="AM12" s="53" t="s">
        <v>51</v>
      </c>
      <c r="AN12" s="57" t="s">
        <v>66</v>
      </c>
      <c r="AO12" s="58" t="s">
        <v>15</v>
      </c>
      <c r="AP12" s="58" t="s">
        <v>99</v>
      </c>
      <c r="AQ12" s="58" t="s">
        <v>17</v>
      </c>
      <c r="AR12" s="169" t="s">
        <v>267</v>
      </c>
      <c r="AS12" s="169" t="s">
        <v>268</v>
      </c>
      <c r="AT12" s="169" t="s">
        <v>269</v>
      </c>
      <c r="AU12" s="169" t="s">
        <v>270</v>
      </c>
      <c r="AV12" s="169" t="s">
        <v>271</v>
      </c>
      <c r="AW12" s="169" t="s">
        <v>272</v>
      </c>
      <c r="AX12" s="169" t="s">
        <v>273</v>
      </c>
      <c r="AY12" s="169" t="s">
        <v>274</v>
      </c>
      <c r="AZ12" s="169" t="s">
        <v>275</v>
      </c>
      <c r="BA12" s="169" t="s">
        <v>276</v>
      </c>
      <c r="BB12" s="169" t="s">
        <v>277</v>
      </c>
      <c r="BC12" s="169" t="s">
        <v>278</v>
      </c>
      <c r="BD12" s="169" t="s">
        <v>279</v>
      </c>
      <c r="BE12" s="169" t="s">
        <v>280</v>
      </c>
      <c r="BF12" s="169" t="s">
        <v>281</v>
      </c>
      <c r="BG12" s="169" t="s">
        <v>282</v>
      </c>
      <c r="BH12" s="169" t="s">
        <v>283</v>
      </c>
      <c r="BI12" s="169" t="s">
        <v>284</v>
      </c>
      <c r="BJ12" s="169" t="s">
        <v>285</v>
      </c>
      <c r="BK12" s="169" t="s">
        <v>286</v>
      </c>
      <c r="BL12" s="169" t="s">
        <v>287</v>
      </c>
      <c r="BM12" s="169" t="s">
        <v>288</v>
      </c>
      <c r="BN12" s="169" t="s">
        <v>289</v>
      </c>
      <c r="BO12" s="169" t="s">
        <v>290</v>
      </c>
      <c r="BP12" s="169" t="s">
        <v>291</v>
      </c>
      <c r="BQ12" s="169" t="s">
        <v>292</v>
      </c>
      <c r="BR12" s="169" t="s">
        <v>293</v>
      </c>
      <c r="BS12" s="169" t="s">
        <v>294</v>
      </c>
      <c r="BT12" s="169" t="s">
        <v>295</v>
      </c>
      <c r="BU12" s="169" t="s">
        <v>296</v>
      </c>
      <c r="BV12" s="169" t="s">
        <v>297</v>
      </c>
      <c r="BW12" s="169" t="s">
        <v>298</v>
      </c>
      <c r="BX12" s="169" t="s">
        <v>299</v>
      </c>
      <c r="BY12" s="169" t="s">
        <v>300</v>
      </c>
      <c r="BZ12" s="169" t="s">
        <v>301</v>
      </c>
      <c r="CA12" s="169" t="s">
        <v>302</v>
      </c>
      <c r="CB12" s="169" t="s">
        <v>303</v>
      </c>
      <c r="CC12" s="169" t="s">
        <v>304</v>
      </c>
      <c r="CD12" s="169" t="s">
        <v>305</v>
      </c>
      <c r="CE12" s="169" t="s">
        <v>306</v>
      </c>
      <c r="CF12" s="169" t="s">
        <v>307</v>
      </c>
      <c r="CG12" s="169" t="s">
        <v>308</v>
      </c>
      <c r="CH12" s="169" t="s">
        <v>309</v>
      </c>
      <c r="CI12" s="169" t="s">
        <v>310</v>
      </c>
      <c r="CJ12" s="169" t="s">
        <v>311</v>
      </c>
      <c r="CK12" s="169" t="s">
        <v>312</v>
      </c>
      <c r="CL12" s="169" t="s">
        <v>313</v>
      </c>
      <c r="CM12" s="169" t="s">
        <v>314</v>
      </c>
      <c r="CN12" s="169" t="s">
        <v>315</v>
      </c>
      <c r="CO12" s="169" t="s">
        <v>316</v>
      </c>
      <c r="CP12" s="169" t="s">
        <v>317</v>
      </c>
      <c r="CQ12" s="169" t="s">
        <v>318</v>
      </c>
      <c r="CR12" s="169" t="s">
        <v>319</v>
      </c>
      <c r="CS12" s="169" t="s">
        <v>320</v>
      </c>
      <c r="CT12" s="169" t="s">
        <v>321</v>
      </c>
      <c r="CU12" s="169" t="s">
        <v>322</v>
      </c>
      <c r="CV12" s="169" t="s">
        <v>323</v>
      </c>
      <c r="CW12" s="169" t="s">
        <v>324</v>
      </c>
      <c r="CX12" s="169" t="s">
        <v>325</v>
      </c>
      <c r="CY12" s="169" t="s">
        <v>326</v>
      </c>
      <c r="CZ12" s="169" t="s">
        <v>327</v>
      </c>
      <c r="DA12" s="169" t="s">
        <v>328</v>
      </c>
      <c r="DB12" s="169" t="s">
        <v>329</v>
      </c>
      <c r="DC12" s="169" t="s">
        <v>330</v>
      </c>
      <c r="DD12" s="169" t="s">
        <v>331</v>
      </c>
      <c r="DE12" s="169" t="s">
        <v>332</v>
      </c>
      <c r="DF12" s="169" t="s">
        <v>333</v>
      </c>
      <c r="DG12" s="169" t="s">
        <v>334</v>
      </c>
      <c r="DH12" s="169" t="s">
        <v>335</v>
      </c>
      <c r="DI12" s="169" t="s">
        <v>336</v>
      </c>
      <c r="DJ12" s="169" t="s">
        <v>337</v>
      </c>
      <c r="DK12" s="169" t="s">
        <v>338</v>
      </c>
      <c r="DL12" s="169" t="s">
        <v>339</v>
      </c>
      <c r="DM12" s="169" t="s">
        <v>340</v>
      </c>
      <c r="DN12" s="169" t="s">
        <v>341</v>
      </c>
      <c r="DO12" s="169" t="s">
        <v>342</v>
      </c>
      <c r="DP12" s="169" t="s">
        <v>343</v>
      </c>
      <c r="DQ12" s="169" t="s">
        <v>344</v>
      </c>
      <c r="DR12" s="169" t="s">
        <v>345</v>
      </c>
      <c r="DS12" s="169" t="s">
        <v>346</v>
      </c>
      <c r="DT12" s="169" t="s">
        <v>347</v>
      </c>
      <c r="DU12" s="169" t="s">
        <v>348</v>
      </c>
      <c r="DV12" s="169" t="s">
        <v>349</v>
      </c>
      <c r="DW12" s="169" t="s">
        <v>350</v>
      </c>
      <c r="DX12" s="169" t="s">
        <v>351</v>
      </c>
      <c r="DY12" s="169" t="s">
        <v>352</v>
      </c>
      <c r="DZ12" s="169" t="s">
        <v>353</v>
      </c>
      <c r="EA12" s="169" t="s">
        <v>354</v>
      </c>
      <c r="EB12" s="169" t="s">
        <v>355</v>
      </c>
      <c r="EC12" s="169" t="s">
        <v>356</v>
      </c>
      <c r="ED12" s="169" t="s">
        <v>357</v>
      </c>
      <c r="EE12" s="169" t="s">
        <v>358</v>
      </c>
      <c r="EF12" s="169" t="s">
        <v>359</v>
      </c>
      <c r="EG12" s="169" t="s">
        <v>360</v>
      </c>
      <c r="EH12" s="169" t="s">
        <v>361</v>
      </c>
      <c r="EI12" s="169" t="s">
        <v>362</v>
      </c>
      <c r="EJ12" s="169" t="s">
        <v>363</v>
      </c>
      <c r="EK12" s="169" t="s">
        <v>364</v>
      </c>
      <c r="EL12" s="169" t="s">
        <v>365</v>
      </c>
      <c r="EM12" s="169" t="s">
        <v>366</v>
      </c>
      <c r="EN12" s="169" t="s">
        <v>367</v>
      </c>
      <c r="EO12" s="169" t="s">
        <v>368</v>
      </c>
      <c r="EP12" s="169" t="s">
        <v>369</v>
      </c>
      <c r="EQ12" s="169" t="s">
        <v>370</v>
      </c>
      <c r="ER12" s="169" t="s">
        <v>371</v>
      </c>
      <c r="ES12" s="169" t="s">
        <v>372</v>
      </c>
      <c r="ET12" s="169" t="s">
        <v>373</v>
      </c>
      <c r="EU12" s="169" t="s">
        <v>374</v>
      </c>
      <c r="EV12" s="169" t="s">
        <v>375</v>
      </c>
      <c r="EW12" s="169" t="s">
        <v>376</v>
      </c>
      <c r="EX12" s="169" t="s">
        <v>377</v>
      </c>
      <c r="EY12" s="169" t="s">
        <v>378</v>
      </c>
      <c r="EZ12" s="169" t="s">
        <v>379</v>
      </c>
      <c r="FA12" s="169" t="s">
        <v>380</v>
      </c>
      <c r="FB12" s="169" t="s">
        <v>381</v>
      </c>
      <c r="FC12" s="169" t="s">
        <v>382</v>
      </c>
      <c r="FD12" s="169" t="s">
        <v>383</v>
      </c>
      <c r="FE12" s="169" t="s">
        <v>384</v>
      </c>
      <c r="FF12" s="169" t="s">
        <v>385</v>
      </c>
      <c r="FG12" s="169" t="s">
        <v>386</v>
      </c>
      <c r="FH12" s="169" t="s">
        <v>387</v>
      </c>
      <c r="FI12" s="169" t="s">
        <v>388</v>
      </c>
      <c r="FJ12" s="169" t="s">
        <v>389</v>
      </c>
      <c r="FK12" s="169" t="s">
        <v>390</v>
      </c>
      <c r="FL12" s="169" t="s">
        <v>391</v>
      </c>
      <c r="FM12" s="169" t="s">
        <v>392</v>
      </c>
      <c r="FN12" s="169" t="s">
        <v>393</v>
      </c>
      <c r="FO12" s="169" t="s">
        <v>394</v>
      </c>
    </row>
    <row r="13" spans="1:171" s="142" customFormat="1" ht="45.75" thickBot="1" x14ac:dyDescent="0.3">
      <c r="A13" s="128" t="s">
        <v>21</v>
      </c>
      <c r="B13" s="129" t="s">
        <v>22</v>
      </c>
      <c r="C13" s="129" t="s">
        <v>73</v>
      </c>
      <c r="D13" s="129" t="s">
        <v>74</v>
      </c>
      <c r="E13" s="129" t="s">
        <v>427</v>
      </c>
      <c r="F13" s="130" t="s">
        <v>22</v>
      </c>
      <c r="G13" s="130" t="s">
        <v>22</v>
      </c>
      <c r="H13" s="131" t="s">
        <v>22</v>
      </c>
      <c r="I13" s="129" t="s">
        <v>22</v>
      </c>
      <c r="J13" s="129" t="s">
        <v>22</v>
      </c>
      <c r="K13" s="132" t="s">
        <v>22</v>
      </c>
      <c r="L13" s="133" t="s">
        <v>22</v>
      </c>
      <c r="M13" s="134" t="s">
        <v>28</v>
      </c>
      <c r="N13" s="134" t="s">
        <v>24</v>
      </c>
      <c r="O13" s="134" t="s">
        <v>27</v>
      </c>
      <c r="P13" s="134" t="s">
        <v>23</v>
      </c>
      <c r="Q13" s="134" t="s">
        <v>100</v>
      </c>
      <c r="R13" s="134" t="s">
        <v>101</v>
      </c>
      <c r="S13" s="134" t="s">
        <v>102</v>
      </c>
      <c r="T13" s="134" t="s">
        <v>103</v>
      </c>
      <c r="U13" s="134" t="s">
        <v>104</v>
      </c>
      <c r="V13" s="134" t="s">
        <v>105</v>
      </c>
      <c r="W13" s="134" t="s">
        <v>106</v>
      </c>
      <c r="X13" s="134" t="s">
        <v>107</v>
      </c>
      <c r="Y13" s="134" t="s">
        <v>108</v>
      </c>
      <c r="Z13" s="134" t="s">
        <v>109</v>
      </c>
      <c r="AA13" s="134" t="s">
        <v>110</v>
      </c>
      <c r="AB13" s="134" t="s">
        <v>111</v>
      </c>
      <c r="AC13" s="134" t="s">
        <v>112</v>
      </c>
      <c r="AD13" s="135" t="s">
        <v>113</v>
      </c>
      <c r="AE13" s="134" t="s">
        <v>114</v>
      </c>
      <c r="AF13" s="136" t="s">
        <v>115</v>
      </c>
      <c r="AG13" s="137" t="s">
        <v>26</v>
      </c>
      <c r="AH13" s="138" t="s">
        <v>26</v>
      </c>
      <c r="AI13" s="139" t="s">
        <v>116</v>
      </c>
      <c r="AJ13" s="134" t="s">
        <v>117</v>
      </c>
      <c r="AK13" s="139" t="s">
        <v>118</v>
      </c>
      <c r="AL13" s="139" t="s">
        <v>119</v>
      </c>
      <c r="AM13" s="134" t="s">
        <v>120</v>
      </c>
      <c r="AN13" s="140" t="s">
        <v>121</v>
      </c>
      <c r="AO13" s="141" t="s">
        <v>23</v>
      </c>
      <c r="AP13" s="141" t="s">
        <v>26</v>
      </c>
      <c r="AQ13" s="141" t="s">
        <v>26</v>
      </c>
      <c r="AR13" s="93" t="s">
        <v>32</v>
      </c>
      <c r="AS13" s="93" t="s">
        <v>142</v>
      </c>
      <c r="AT13" s="93" t="s">
        <v>33</v>
      </c>
      <c r="AU13" s="93" t="s">
        <v>34</v>
      </c>
      <c r="AV13" s="93" t="s">
        <v>143</v>
      </c>
      <c r="AW13" s="93" t="s">
        <v>144</v>
      </c>
      <c r="AX13" s="93" t="s">
        <v>145</v>
      </c>
      <c r="AY13" s="93" t="s">
        <v>146</v>
      </c>
      <c r="AZ13" s="93" t="s">
        <v>147</v>
      </c>
      <c r="BA13" s="93" t="s">
        <v>148</v>
      </c>
      <c r="BB13" s="93" t="s">
        <v>149</v>
      </c>
      <c r="BC13" s="93" t="s">
        <v>150</v>
      </c>
      <c r="BD13" s="93" t="s">
        <v>151</v>
      </c>
      <c r="BE13" s="93" t="s">
        <v>152</v>
      </c>
      <c r="BF13" s="93" t="s">
        <v>153</v>
      </c>
      <c r="BG13" s="93" t="s">
        <v>154</v>
      </c>
      <c r="BH13" s="93" t="s">
        <v>155</v>
      </c>
      <c r="BI13" s="93" t="s">
        <v>156</v>
      </c>
      <c r="BJ13" s="93" t="s">
        <v>157</v>
      </c>
      <c r="BK13" s="93" t="s">
        <v>158</v>
      </c>
      <c r="BL13" s="93" t="s">
        <v>159</v>
      </c>
      <c r="BM13" s="93" t="s">
        <v>160</v>
      </c>
      <c r="BN13" s="93" t="s">
        <v>161</v>
      </c>
      <c r="BO13" s="93" t="s">
        <v>162</v>
      </c>
      <c r="BP13" s="93" t="s">
        <v>163</v>
      </c>
      <c r="BQ13" s="93" t="s">
        <v>164</v>
      </c>
      <c r="BR13" s="93" t="s">
        <v>165</v>
      </c>
      <c r="BS13" s="93" t="s">
        <v>166</v>
      </c>
      <c r="BT13" s="93" t="s">
        <v>167</v>
      </c>
      <c r="BU13" s="93" t="s">
        <v>168</v>
      </c>
      <c r="BV13" s="93" t="s">
        <v>169</v>
      </c>
      <c r="BW13" s="93" t="s">
        <v>170</v>
      </c>
      <c r="BX13" s="93" t="s">
        <v>171</v>
      </c>
      <c r="BY13" s="93" t="s">
        <v>172</v>
      </c>
      <c r="BZ13" s="93" t="s">
        <v>173</v>
      </c>
      <c r="CA13" s="93" t="s">
        <v>174</v>
      </c>
      <c r="CB13" s="93" t="s">
        <v>175</v>
      </c>
      <c r="CC13" s="93" t="s">
        <v>176</v>
      </c>
      <c r="CD13" s="93" t="s">
        <v>177</v>
      </c>
      <c r="CE13" s="93" t="s">
        <v>178</v>
      </c>
      <c r="CF13" s="93" t="s">
        <v>179</v>
      </c>
      <c r="CG13" s="93" t="s">
        <v>180</v>
      </c>
      <c r="CH13" s="93" t="s">
        <v>181</v>
      </c>
      <c r="CI13" s="93" t="s">
        <v>182</v>
      </c>
      <c r="CJ13" s="93" t="s">
        <v>183</v>
      </c>
      <c r="CK13" s="93" t="s">
        <v>184</v>
      </c>
      <c r="CL13" s="93" t="s">
        <v>185</v>
      </c>
      <c r="CM13" s="93" t="s">
        <v>186</v>
      </c>
      <c r="CN13" s="93" t="s">
        <v>187</v>
      </c>
      <c r="CO13" s="93" t="s">
        <v>188</v>
      </c>
      <c r="CP13" s="93" t="s">
        <v>189</v>
      </c>
      <c r="CQ13" s="93" t="s">
        <v>190</v>
      </c>
      <c r="CR13" s="93" t="s">
        <v>191</v>
      </c>
      <c r="CS13" s="93" t="s">
        <v>192</v>
      </c>
      <c r="CT13" s="93" t="s">
        <v>193</v>
      </c>
      <c r="CU13" s="93" t="s">
        <v>194</v>
      </c>
      <c r="CV13" s="93" t="s">
        <v>195</v>
      </c>
      <c r="CW13" s="93" t="s">
        <v>196</v>
      </c>
      <c r="CX13" s="93" t="s">
        <v>197</v>
      </c>
      <c r="CY13" s="93" t="s">
        <v>198</v>
      </c>
      <c r="CZ13" s="93" t="s">
        <v>199</v>
      </c>
      <c r="DA13" s="93" t="s">
        <v>200</v>
      </c>
      <c r="DB13" s="93" t="s">
        <v>201</v>
      </c>
      <c r="DC13" s="93" t="s">
        <v>202</v>
      </c>
      <c r="DD13" s="93" t="s">
        <v>203</v>
      </c>
      <c r="DE13" s="93" t="s">
        <v>204</v>
      </c>
      <c r="DF13" s="93" t="s">
        <v>205</v>
      </c>
      <c r="DG13" s="93" t="s">
        <v>206</v>
      </c>
      <c r="DH13" s="93" t="s">
        <v>207</v>
      </c>
      <c r="DI13" s="93" t="s">
        <v>208</v>
      </c>
      <c r="DJ13" s="93" t="s">
        <v>209</v>
      </c>
      <c r="DK13" s="93" t="s">
        <v>210</v>
      </c>
      <c r="DL13" s="93" t="s">
        <v>211</v>
      </c>
      <c r="DM13" s="93" t="s">
        <v>212</v>
      </c>
      <c r="DN13" s="93" t="s">
        <v>213</v>
      </c>
      <c r="DO13" s="93" t="s">
        <v>214</v>
      </c>
      <c r="DP13" s="93" t="s">
        <v>215</v>
      </c>
      <c r="DQ13" s="93" t="s">
        <v>216</v>
      </c>
      <c r="DR13" s="93" t="s">
        <v>217</v>
      </c>
      <c r="DS13" s="93" t="s">
        <v>218</v>
      </c>
      <c r="DT13" s="93" t="s">
        <v>219</v>
      </c>
      <c r="DU13" s="93" t="s">
        <v>220</v>
      </c>
      <c r="DV13" s="93" t="s">
        <v>221</v>
      </c>
      <c r="DW13" s="93" t="s">
        <v>222</v>
      </c>
      <c r="DX13" s="93" t="s">
        <v>223</v>
      </c>
      <c r="DY13" s="93" t="s">
        <v>224</v>
      </c>
      <c r="DZ13" s="93" t="s">
        <v>225</v>
      </c>
      <c r="EA13" s="93" t="s">
        <v>226</v>
      </c>
      <c r="EB13" s="93" t="s">
        <v>227</v>
      </c>
      <c r="EC13" s="93" t="s">
        <v>228</v>
      </c>
      <c r="ED13" s="93" t="s">
        <v>229</v>
      </c>
      <c r="EE13" s="93" t="s">
        <v>230</v>
      </c>
      <c r="EF13" s="93" t="s">
        <v>231</v>
      </c>
      <c r="EG13" s="93" t="s">
        <v>232</v>
      </c>
      <c r="EH13" s="93" t="s">
        <v>233</v>
      </c>
      <c r="EI13" s="93" t="s">
        <v>234</v>
      </c>
      <c r="EJ13" s="93" t="s">
        <v>235</v>
      </c>
      <c r="EK13" s="93" t="s">
        <v>236</v>
      </c>
      <c r="EL13" s="93" t="s">
        <v>237</v>
      </c>
      <c r="EM13" s="93" t="s">
        <v>238</v>
      </c>
      <c r="EN13" s="93" t="s">
        <v>239</v>
      </c>
      <c r="EO13" s="93" t="s">
        <v>240</v>
      </c>
      <c r="EP13" s="93" t="s">
        <v>241</v>
      </c>
      <c r="EQ13" s="93" t="s">
        <v>242</v>
      </c>
      <c r="ER13" s="93" t="s">
        <v>243</v>
      </c>
      <c r="ES13" s="93" t="s">
        <v>244</v>
      </c>
      <c r="ET13" s="93" t="s">
        <v>245</v>
      </c>
      <c r="EU13" s="93" t="s">
        <v>246</v>
      </c>
      <c r="EV13" s="93" t="s">
        <v>247</v>
      </c>
      <c r="EW13" s="93" t="s">
        <v>248</v>
      </c>
      <c r="EX13" s="93" t="s">
        <v>249</v>
      </c>
      <c r="EY13" s="93" t="s">
        <v>250</v>
      </c>
      <c r="EZ13" s="93" t="s">
        <v>251</v>
      </c>
      <c r="FA13" s="93" t="s">
        <v>252</v>
      </c>
      <c r="FB13" s="93" t="s">
        <v>253</v>
      </c>
      <c r="FC13" s="93" t="s">
        <v>254</v>
      </c>
      <c r="FD13" s="93" t="s">
        <v>255</v>
      </c>
      <c r="FE13" s="93" t="s">
        <v>256</v>
      </c>
      <c r="FF13" s="93" t="s">
        <v>257</v>
      </c>
      <c r="FG13" s="93" t="s">
        <v>258</v>
      </c>
      <c r="FH13" s="93" t="s">
        <v>259</v>
      </c>
      <c r="FI13" s="93" t="s">
        <v>260</v>
      </c>
      <c r="FJ13" s="93" t="s">
        <v>261</v>
      </c>
      <c r="FK13" s="93" t="s">
        <v>262</v>
      </c>
      <c r="FL13" s="93" t="s">
        <v>263</v>
      </c>
      <c r="FM13" s="93" t="s">
        <v>264</v>
      </c>
      <c r="FN13" s="93" t="s">
        <v>265</v>
      </c>
      <c r="FO13" s="93" t="s">
        <v>266</v>
      </c>
    </row>
    <row r="14" spans="1:171" s="102" customFormat="1" x14ac:dyDescent="0.25">
      <c r="A14" s="70" t="s">
        <v>29</v>
      </c>
      <c r="B14" s="172" t="str">
        <f>CONCATENATE("INN3", IF(ISBLANK(H14),"x",H14), I14, J14, "C-",INDEX(C14:E14,B$4),"-TL")</f>
        <v>INN3365C-H301-TL</v>
      </c>
      <c r="C14" s="170" t="s">
        <v>129</v>
      </c>
      <c r="D14" s="170"/>
      <c r="E14" s="170" t="s">
        <v>434</v>
      </c>
      <c r="F14" s="77"/>
      <c r="G14" s="77"/>
      <c r="H14" s="77" t="s">
        <v>34</v>
      </c>
      <c r="I14" s="122">
        <v>6</v>
      </c>
      <c r="J14" s="122">
        <v>5</v>
      </c>
      <c r="K14" s="72">
        <v>5</v>
      </c>
      <c r="L14" s="73">
        <v>5</v>
      </c>
      <c r="M14" s="78">
        <v>115</v>
      </c>
      <c r="N14" s="104">
        <v>950</v>
      </c>
      <c r="O14" s="78">
        <v>9.1</v>
      </c>
      <c r="P14" s="104">
        <v>25</v>
      </c>
      <c r="Q14" s="104">
        <v>0</v>
      </c>
      <c r="R14" s="104">
        <v>0</v>
      </c>
      <c r="S14" s="104">
        <v>0</v>
      </c>
      <c r="T14" s="104">
        <v>0</v>
      </c>
      <c r="U14" s="104">
        <v>0</v>
      </c>
      <c r="V14" s="104">
        <v>0</v>
      </c>
      <c r="W14" s="104">
        <v>0</v>
      </c>
      <c r="X14" s="104">
        <v>0</v>
      </c>
      <c r="Y14" s="104">
        <v>0</v>
      </c>
      <c r="Z14" s="104">
        <v>0</v>
      </c>
      <c r="AA14" s="104">
        <v>0</v>
      </c>
      <c r="AB14" s="104">
        <v>0</v>
      </c>
      <c r="AC14" s="104">
        <v>1</v>
      </c>
      <c r="AD14" s="105" t="s">
        <v>32</v>
      </c>
      <c r="AE14" s="104">
        <v>1</v>
      </c>
      <c r="AF14" s="107">
        <v>0</v>
      </c>
      <c r="AG14" s="74">
        <v>675</v>
      </c>
      <c r="AH14" s="75">
        <v>630</v>
      </c>
      <c r="AI14" s="104">
        <v>6</v>
      </c>
      <c r="AJ14" s="104">
        <v>0</v>
      </c>
      <c r="AK14" s="104">
        <v>10</v>
      </c>
      <c r="AL14" s="104">
        <v>6</v>
      </c>
      <c r="AM14" s="104">
        <v>0</v>
      </c>
      <c r="AN14" s="104">
        <v>0</v>
      </c>
      <c r="AO14" s="106">
        <v>132</v>
      </c>
      <c r="AP14" s="114">
        <v>3.2000000000000001E-2</v>
      </c>
      <c r="AQ14" s="79">
        <v>5</v>
      </c>
      <c r="AR14" s="103">
        <v>0</v>
      </c>
      <c r="AS14" s="103">
        <v>0</v>
      </c>
      <c r="AT14" s="103">
        <v>0</v>
      </c>
      <c r="AU14" s="103">
        <v>0</v>
      </c>
      <c r="AV14" s="103">
        <v>0</v>
      </c>
      <c r="AW14" s="103">
        <v>0</v>
      </c>
      <c r="AX14" s="103">
        <v>0</v>
      </c>
      <c r="AY14" s="103">
        <v>0</v>
      </c>
      <c r="AZ14" s="103">
        <v>0</v>
      </c>
      <c r="BA14" s="103">
        <v>0</v>
      </c>
      <c r="BB14" s="103">
        <v>0</v>
      </c>
      <c r="BC14" s="103">
        <v>0</v>
      </c>
      <c r="BD14" s="103">
        <v>0</v>
      </c>
      <c r="BE14" s="103">
        <v>0</v>
      </c>
      <c r="BF14" s="103">
        <v>0</v>
      </c>
      <c r="BG14" s="103">
        <v>0</v>
      </c>
      <c r="BH14" s="103">
        <v>0</v>
      </c>
      <c r="BI14" s="103">
        <v>0</v>
      </c>
      <c r="BJ14" s="103">
        <v>0</v>
      </c>
      <c r="BK14" s="103">
        <v>0</v>
      </c>
      <c r="BL14" s="103">
        <v>0</v>
      </c>
      <c r="BM14" s="103">
        <v>0</v>
      </c>
      <c r="BN14" s="103">
        <v>0</v>
      </c>
      <c r="BO14" s="103">
        <v>1</v>
      </c>
      <c r="BP14" s="103">
        <v>0</v>
      </c>
      <c r="BQ14" s="103">
        <v>0</v>
      </c>
      <c r="BR14" s="103">
        <v>0</v>
      </c>
      <c r="BS14" s="103">
        <v>1</v>
      </c>
      <c r="BT14" s="103">
        <v>0</v>
      </c>
      <c r="BU14" s="103">
        <v>0</v>
      </c>
      <c r="BV14" s="103">
        <v>0</v>
      </c>
      <c r="BW14" s="103">
        <v>0</v>
      </c>
      <c r="BX14" s="103">
        <v>0</v>
      </c>
      <c r="BY14" s="103">
        <v>0</v>
      </c>
      <c r="BZ14" s="103">
        <v>0</v>
      </c>
      <c r="CA14" s="103">
        <v>0</v>
      </c>
      <c r="CB14" s="103">
        <v>0</v>
      </c>
      <c r="CC14" s="103">
        <v>0</v>
      </c>
      <c r="CD14" s="103">
        <v>1</v>
      </c>
      <c r="CE14" s="103">
        <v>0</v>
      </c>
      <c r="CF14" s="103">
        <v>0</v>
      </c>
      <c r="CG14" s="103">
        <v>0</v>
      </c>
      <c r="CH14" s="103">
        <v>0</v>
      </c>
      <c r="CI14" s="103">
        <v>0</v>
      </c>
      <c r="CJ14" s="103">
        <v>0</v>
      </c>
      <c r="CK14" s="103">
        <v>0</v>
      </c>
      <c r="CL14" s="103">
        <v>0</v>
      </c>
      <c r="CM14" s="103">
        <v>0</v>
      </c>
      <c r="CN14" s="103">
        <v>0</v>
      </c>
      <c r="CO14" s="103">
        <v>0</v>
      </c>
      <c r="CP14" s="103">
        <v>0</v>
      </c>
      <c r="CQ14" s="103">
        <v>0</v>
      </c>
      <c r="CR14" s="103">
        <v>0</v>
      </c>
      <c r="CS14" s="103">
        <v>0</v>
      </c>
      <c r="CT14" s="103">
        <v>0</v>
      </c>
      <c r="CU14" s="103">
        <v>1</v>
      </c>
      <c r="CV14" s="103">
        <v>0</v>
      </c>
      <c r="CW14" s="103">
        <v>0</v>
      </c>
      <c r="CX14" s="103">
        <v>0</v>
      </c>
      <c r="CY14" s="103">
        <v>0</v>
      </c>
      <c r="CZ14" s="103">
        <v>0</v>
      </c>
      <c r="DA14" s="103">
        <v>0</v>
      </c>
      <c r="DB14" s="103">
        <v>0</v>
      </c>
      <c r="DC14" s="103">
        <v>1</v>
      </c>
      <c r="DD14" s="103">
        <v>0</v>
      </c>
      <c r="DE14" s="103">
        <v>0</v>
      </c>
      <c r="DF14" s="103">
        <v>0</v>
      </c>
      <c r="DG14" s="103">
        <v>0</v>
      </c>
      <c r="DH14" s="103">
        <v>0</v>
      </c>
      <c r="DI14" s="103">
        <v>0</v>
      </c>
      <c r="DJ14" s="103">
        <v>0</v>
      </c>
      <c r="DK14" s="103">
        <v>0</v>
      </c>
      <c r="DL14" s="103">
        <v>0</v>
      </c>
      <c r="DM14" s="103">
        <v>0</v>
      </c>
      <c r="DN14" s="103">
        <v>0</v>
      </c>
      <c r="DO14" s="103">
        <v>0</v>
      </c>
      <c r="DP14" s="103">
        <v>1</v>
      </c>
      <c r="DQ14" s="103">
        <v>0</v>
      </c>
      <c r="DR14" s="103">
        <v>0</v>
      </c>
      <c r="DS14" s="103">
        <v>0</v>
      </c>
      <c r="DT14" s="103">
        <v>0</v>
      </c>
      <c r="DU14" s="103">
        <v>0</v>
      </c>
      <c r="DV14" s="103">
        <v>0</v>
      </c>
      <c r="DW14" s="103">
        <v>0</v>
      </c>
      <c r="DX14" s="103">
        <v>0</v>
      </c>
      <c r="DY14" s="103">
        <v>0</v>
      </c>
      <c r="DZ14" s="103">
        <v>0</v>
      </c>
      <c r="EA14" s="103">
        <v>0</v>
      </c>
      <c r="EB14" s="103">
        <v>0</v>
      </c>
      <c r="EC14" s="103">
        <v>0</v>
      </c>
      <c r="ED14" s="103">
        <v>0</v>
      </c>
      <c r="EE14" s="103">
        <v>0</v>
      </c>
      <c r="EF14" s="103">
        <v>0</v>
      </c>
      <c r="EG14" s="103">
        <v>0</v>
      </c>
      <c r="EH14" s="103">
        <v>0</v>
      </c>
      <c r="EI14" s="103">
        <v>0</v>
      </c>
      <c r="EJ14" s="103">
        <v>0</v>
      </c>
      <c r="EK14" s="103">
        <v>0</v>
      </c>
      <c r="EL14" s="103">
        <v>0</v>
      </c>
      <c r="EM14" s="103">
        <v>0</v>
      </c>
      <c r="EN14" s="103">
        <v>0</v>
      </c>
      <c r="EO14" s="103">
        <v>0</v>
      </c>
      <c r="EP14" s="103">
        <v>0</v>
      </c>
      <c r="EQ14" s="103">
        <v>0</v>
      </c>
      <c r="ER14" s="103">
        <v>1</v>
      </c>
      <c r="ES14" s="103">
        <v>0</v>
      </c>
      <c r="ET14" s="103">
        <v>0</v>
      </c>
      <c r="EU14" s="103">
        <v>0</v>
      </c>
      <c r="EV14" s="103">
        <v>0</v>
      </c>
      <c r="EW14" s="103">
        <v>0</v>
      </c>
      <c r="EX14" s="103">
        <v>0</v>
      </c>
      <c r="EY14" s="103">
        <v>0</v>
      </c>
      <c r="EZ14" s="103">
        <v>0</v>
      </c>
      <c r="FA14" s="103">
        <v>0</v>
      </c>
      <c r="FB14" s="103">
        <v>0</v>
      </c>
      <c r="FC14" s="103">
        <v>0</v>
      </c>
      <c r="FD14" s="103">
        <v>0</v>
      </c>
      <c r="FE14" s="103">
        <v>0</v>
      </c>
      <c r="FF14" s="103">
        <v>0</v>
      </c>
      <c r="FG14" s="103">
        <v>0</v>
      </c>
      <c r="FH14" s="103">
        <v>0</v>
      </c>
      <c r="FI14" s="103">
        <v>0</v>
      </c>
      <c r="FJ14" s="103">
        <v>0</v>
      </c>
      <c r="FK14" s="103">
        <v>0</v>
      </c>
      <c r="FL14" s="103">
        <v>0</v>
      </c>
      <c r="FM14" s="103">
        <v>0</v>
      </c>
      <c r="FN14" s="103">
        <v>0</v>
      </c>
      <c r="FO14" s="103">
        <v>0</v>
      </c>
    </row>
    <row r="15" spans="1:171" s="174" customFormat="1" x14ac:dyDescent="0.25">
      <c r="A15" s="175" t="s">
        <v>29</v>
      </c>
      <c r="B15" s="172" t="str">
        <f t="shared" ref="B15:B20" si="0">CONCATENATE("INN3", IF(ISBLANK(H15),"x",H15), I15, J15, "C-",INDEX(C15:E15,B$4),"-TL")</f>
        <v>INN3366C-H301-TL</v>
      </c>
      <c r="C15" s="170" t="s">
        <v>129</v>
      </c>
      <c r="D15" s="176"/>
      <c r="E15" s="170" t="s">
        <v>435</v>
      </c>
      <c r="F15" s="177"/>
      <c r="G15" s="177"/>
      <c r="H15" s="177" t="s">
        <v>34</v>
      </c>
      <c r="I15" s="178">
        <v>6</v>
      </c>
      <c r="J15" s="178">
        <v>6</v>
      </c>
      <c r="K15" s="153">
        <v>6</v>
      </c>
      <c r="L15" s="154">
        <v>6</v>
      </c>
      <c r="M15" s="179">
        <v>115</v>
      </c>
      <c r="N15" s="180">
        <v>1250</v>
      </c>
      <c r="O15" s="78">
        <v>9.1</v>
      </c>
      <c r="P15" s="180">
        <v>25</v>
      </c>
      <c r="Q15" s="180">
        <v>0</v>
      </c>
      <c r="R15" s="180">
        <v>0</v>
      </c>
      <c r="S15" s="180">
        <v>0</v>
      </c>
      <c r="T15" s="180">
        <v>0</v>
      </c>
      <c r="U15" s="180">
        <v>0</v>
      </c>
      <c r="V15" s="180">
        <v>0</v>
      </c>
      <c r="W15" s="180">
        <v>0</v>
      </c>
      <c r="X15" s="180">
        <v>0</v>
      </c>
      <c r="Y15" s="180">
        <v>0</v>
      </c>
      <c r="Z15" s="180">
        <v>0</v>
      </c>
      <c r="AA15" s="180">
        <v>0</v>
      </c>
      <c r="AB15" s="180">
        <v>0</v>
      </c>
      <c r="AC15" s="180">
        <v>1</v>
      </c>
      <c r="AD15" s="181" t="s">
        <v>32</v>
      </c>
      <c r="AE15" s="180">
        <v>1</v>
      </c>
      <c r="AF15" s="182">
        <v>0</v>
      </c>
      <c r="AG15" s="183">
        <v>675</v>
      </c>
      <c r="AH15" s="184">
        <v>630</v>
      </c>
      <c r="AI15" s="180">
        <v>10</v>
      </c>
      <c r="AJ15" s="180">
        <v>0</v>
      </c>
      <c r="AK15" s="180">
        <v>23</v>
      </c>
      <c r="AL15" s="180">
        <v>5</v>
      </c>
      <c r="AM15" s="180">
        <v>0</v>
      </c>
      <c r="AN15" s="180">
        <v>0</v>
      </c>
      <c r="AO15" s="106">
        <v>132</v>
      </c>
      <c r="AP15" s="114">
        <v>3.2000000000000001E-2</v>
      </c>
      <c r="AQ15" s="79">
        <v>5</v>
      </c>
      <c r="AR15" s="103">
        <v>0</v>
      </c>
      <c r="AS15" s="103">
        <v>0</v>
      </c>
      <c r="AT15" s="103">
        <v>0</v>
      </c>
      <c r="AU15" s="103">
        <v>0</v>
      </c>
      <c r="AV15" s="103">
        <v>0</v>
      </c>
      <c r="AW15" s="103">
        <v>0</v>
      </c>
      <c r="AX15" s="103">
        <v>0</v>
      </c>
      <c r="AY15" s="103">
        <v>0</v>
      </c>
      <c r="AZ15" s="103">
        <v>0</v>
      </c>
      <c r="BA15" s="103">
        <v>0</v>
      </c>
      <c r="BB15" s="103">
        <v>0</v>
      </c>
      <c r="BC15" s="103">
        <v>0</v>
      </c>
      <c r="BD15" s="103">
        <v>0</v>
      </c>
      <c r="BE15" s="103">
        <v>0</v>
      </c>
      <c r="BF15" s="103">
        <v>0</v>
      </c>
      <c r="BG15" s="103">
        <v>0</v>
      </c>
      <c r="BH15" s="103">
        <v>0</v>
      </c>
      <c r="BI15" s="103">
        <v>0</v>
      </c>
      <c r="BJ15" s="103">
        <v>0</v>
      </c>
      <c r="BK15" s="103">
        <v>0</v>
      </c>
      <c r="BL15" s="103">
        <v>0</v>
      </c>
      <c r="BM15" s="103">
        <v>0</v>
      </c>
      <c r="BN15" s="103">
        <v>0</v>
      </c>
      <c r="BO15" s="103">
        <v>1</v>
      </c>
      <c r="BP15" s="103">
        <v>0</v>
      </c>
      <c r="BQ15" s="103">
        <v>0</v>
      </c>
      <c r="BR15" s="103">
        <v>0</v>
      </c>
      <c r="BS15" s="103">
        <v>1</v>
      </c>
      <c r="BT15" s="103">
        <v>0</v>
      </c>
      <c r="BU15" s="103">
        <v>0</v>
      </c>
      <c r="BV15" s="103">
        <v>0</v>
      </c>
      <c r="BW15" s="103">
        <v>0</v>
      </c>
      <c r="BX15" s="103">
        <v>0</v>
      </c>
      <c r="BY15" s="103">
        <v>0</v>
      </c>
      <c r="BZ15" s="103">
        <v>0</v>
      </c>
      <c r="CA15" s="103">
        <v>0</v>
      </c>
      <c r="CB15" s="103">
        <v>0</v>
      </c>
      <c r="CC15" s="103">
        <v>0</v>
      </c>
      <c r="CD15" s="103">
        <v>1</v>
      </c>
      <c r="CE15" s="103">
        <v>0</v>
      </c>
      <c r="CF15" s="103">
        <v>0</v>
      </c>
      <c r="CG15" s="103">
        <v>0</v>
      </c>
      <c r="CH15" s="103">
        <v>0</v>
      </c>
      <c r="CI15" s="103">
        <v>0</v>
      </c>
      <c r="CJ15" s="103">
        <v>0</v>
      </c>
      <c r="CK15" s="103">
        <v>0</v>
      </c>
      <c r="CL15" s="103">
        <v>0</v>
      </c>
      <c r="CM15" s="103">
        <v>0</v>
      </c>
      <c r="CN15" s="103">
        <v>0</v>
      </c>
      <c r="CO15" s="103">
        <v>0</v>
      </c>
      <c r="CP15" s="103">
        <v>0</v>
      </c>
      <c r="CQ15" s="103">
        <v>0</v>
      </c>
      <c r="CR15" s="103">
        <v>0</v>
      </c>
      <c r="CS15" s="103">
        <v>0</v>
      </c>
      <c r="CT15" s="103">
        <v>0</v>
      </c>
      <c r="CU15" s="103">
        <v>1</v>
      </c>
      <c r="CV15" s="103">
        <v>0</v>
      </c>
      <c r="CW15" s="103">
        <v>0</v>
      </c>
      <c r="CX15" s="103">
        <v>0</v>
      </c>
      <c r="CY15" s="103">
        <v>0</v>
      </c>
      <c r="CZ15" s="103">
        <v>0</v>
      </c>
      <c r="DA15" s="103">
        <v>0</v>
      </c>
      <c r="DB15" s="103">
        <v>0</v>
      </c>
      <c r="DC15" s="103">
        <v>1</v>
      </c>
      <c r="DD15" s="103">
        <v>0</v>
      </c>
      <c r="DE15" s="103">
        <v>0</v>
      </c>
      <c r="DF15" s="103">
        <v>0</v>
      </c>
      <c r="DG15" s="103">
        <v>0</v>
      </c>
      <c r="DH15" s="103">
        <v>0</v>
      </c>
      <c r="DI15" s="103">
        <v>0</v>
      </c>
      <c r="DJ15" s="103">
        <v>0</v>
      </c>
      <c r="DK15" s="103">
        <v>0</v>
      </c>
      <c r="DL15" s="103">
        <v>0</v>
      </c>
      <c r="DM15" s="103">
        <v>0</v>
      </c>
      <c r="DN15" s="103">
        <v>0</v>
      </c>
      <c r="DO15" s="103">
        <v>0</v>
      </c>
      <c r="DP15" s="103">
        <v>1</v>
      </c>
      <c r="DQ15" s="103">
        <v>0</v>
      </c>
      <c r="DR15" s="103">
        <v>0</v>
      </c>
      <c r="DS15" s="103">
        <v>0</v>
      </c>
      <c r="DT15" s="103">
        <v>0</v>
      </c>
      <c r="DU15" s="103">
        <v>0</v>
      </c>
      <c r="DV15" s="103">
        <v>0</v>
      </c>
      <c r="DW15" s="103">
        <v>0</v>
      </c>
      <c r="DX15" s="103">
        <v>0</v>
      </c>
      <c r="DY15" s="103">
        <v>0</v>
      </c>
      <c r="DZ15" s="103">
        <v>0</v>
      </c>
      <c r="EA15" s="103">
        <v>0</v>
      </c>
      <c r="EB15" s="103">
        <v>0</v>
      </c>
      <c r="EC15" s="103">
        <v>0</v>
      </c>
      <c r="ED15" s="103">
        <v>0</v>
      </c>
      <c r="EE15" s="103">
        <v>0</v>
      </c>
      <c r="EF15" s="103">
        <v>0</v>
      </c>
      <c r="EG15" s="103">
        <v>0</v>
      </c>
      <c r="EH15" s="103">
        <v>0</v>
      </c>
      <c r="EI15" s="103">
        <v>0</v>
      </c>
      <c r="EJ15" s="103">
        <v>0</v>
      </c>
      <c r="EK15" s="103">
        <v>0</v>
      </c>
      <c r="EL15" s="103">
        <v>0</v>
      </c>
      <c r="EM15" s="103">
        <v>0</v>
      </c>
      <c r="EN15" s="103">
        <v>0</v>
      </c>
      <c r="EO15" s="103">
        <v>0</v>
      </c>
      <c r="EP15" s="103">
        <v>0</v>
      </c>
      <c r="EQ15" s="103">
        <v>0</v>
      </c>
      <c r="ER15" s="103">
        <v>1</v>
      </c>
      <c r="ES15" s="103">
        <v>0</v>
      </c>
      <c r="ET15" s="103">
        <v>0</v>
      </c>
      <c r="EU15" s="103">
        <v>0</v>
      </c>
      <c r="EV15" s="103">
        <v>0</v>
      </c>
      <c r="EW15" s="103">
        <v>0</v>
      </c>
      <c r="EX15" s="103">
        <v>0</v>
      </c>
      <c r="EY15" s="103">
        <v>0</v>
      </c>
      <c r="EZ15" s="103">
        <v>0</v>
      </c>
      <c r="FA15" s="103">
        <v>0</v>
      </c>
      <c r="FB15" s="103">
        <v>0</v>
      </c>
      <c r="FC15" s="103">
        <v>0</v>
      </c>
      <c r="FD15" s="103">
        <v>0</v>
      </c>
      <c r="FE15" s="103">
        <v>0</v>
      </c>
      <c r="FF15" s="103">
        <v>0</v>
      </c>
      <c r="FG15" s="103">
        <v>0</v>
      </c>
      <c r="FH15" s="103">
        <v>0</v>
      </c>
      <c r="FI15" s="103">
        <v>0</v>
      </c>
      <c r="FJ15" s="103">
        <v>0</v>
      </c>
      <c r="FK15" s="103">
        <v>0</v>
      </c>
      <c r="FL15" s="103">
        <v>0</v>
      </c>
      <c r="FM15" s="103">
        <v>0</v>
      </c>
      <c r="FN15" s="103">
        <v>0</v>
      </c>
      <c r="FO15" s="103">
        <v>0</v>
      </c>
    </row>
    <row r="16" spans="1:171" s="174" customFormat="1" x14ac:dyDescent="0.25">
      <c r="A16" s="175" t="s">
        <v>29</v>
      </c>
      <c r="B16" s="172" t="str">
        <f t="shared" si="0"/>
        <v>INN3367C-H301-TL</v>
      </c>
      <c r="C16" s="170" t="s">
        <v>129</v>
      </c>
      <c r="D16" s="176"/>
      <c r="E16" s="170" t="s">
        <v>436</v>
      </c>
      <c r="F16" s="177"/>
      <c r="G16" s="177"/>
      <c r="H16" s="177" t="s">
        <v>34</v>
      </c>
      <c r="I16" s="178">
        <v>6</v>
      </c>
      <c r="J16" s="178">
        <v>7</v>
      </c>
      <c r="K16" s="153">
        <v>7</v>
      </c>
      <c r="L16" s="154">
        <v>7</v>
      </c>
      <c r="M16" s="179">
        <v>115</v>
      </c>
      <c r="N16" s="180">
        <v>1450</v>
      </c>
      <c r="O16" s="78">
        <v>9.1</v>
      </c>
      <c r="P16" s="180">
        <v>25</v>
      </c>
      <c r="Q16" s="180">
        <v>0</v>
      </c>
      <c r="R16" s="180">
        <v>0</v>
      </c>
      <c r="S16" s="180">
        <v>0</v>
      </c>
      <c r="T16" s="180">
        <v>0</v>
      </c>
      <c r="U16" s="180">
        <v>0</v>
      </c>
      <c r="V16" s="180">
        <v>0</v>
      </c>
      <c r="W16" s="180">
        <v>0</v>
      </c>
      <c r="X16" s="180">
        <v>0</v>
      </c>
      <c r="Y16" s="180">
        <v>0</v>
      </c>
      <c r="Z16" s="180">
        <v>0</v>
      </c>
      <c r="AA16" s="180">
        <v>0</v>
      </c>
      <c r="AB16" s="180">
        <v>0</v>
      </c>
      <c r="AC16" s="180">
        <v>1</v>
      </c>
      <c r="AD16" s="181" t="s">
        <v>32</v>
      </c>
      <c r="AE16" s="180">
        <v>1</v>
      </c>
      <c r="AF16" s="182">
        <v>0</v>
      </c>
      <c r="AG16" s="183">
        <v>675</v>
      </c>
      <c r="AH16" s="184">
        <v>630</v>
      </c>
      <c r="AI16" s="180">
        <v>8</v>
      </c>
      <c r="AJ16" s="180">
        <v>0</v>
      </c>
      <c r="AK16" s="180">
        <v>21</v>
      </c>
      <c r="AL16" s="180">
        <v>10</v>
      </c>
      <c r="AM16" s="180">
        <v>0</v>
      </c>
      <c r="AN16" s="180">
        <v>0</v>
      </c>
      <c r="AO16" s="106">
        <v>132</v>
      </c>
      <c r="AP16" s="114">
        <v>3.2000000000000001E-2</v>
      </c>
      <c r="AQ16" s="79">
        <v>5</v>
      </c>
      <c r="AR16" s="103">
        <v>0</v>
      </c>
      <c r="AS16" s="103">
        <v>0</v>
      </c>
      <c r="AT16" s="103">
        <v>0</v>
      </c>
      <c r="AU16" s="103">
        <v>0</v>
      </c>
      <c r="AV16" s="103">
        <v>0</v>
      </c>
      <c r="AW16" s="103">
        <v>0</v>
      </c>
      <c r="AX16" s="103">
        <v>0</v>
      </c>
      <c r="AY16" s="103">
        <v>0</v>
      </c>
      <c r="AZ16" s="103">
        <v>0</v>
      </c>
      <c r="BA16" s="103">
        <v>0</v>
      </c>
      <c r="BB16" s="103">
        <v>0</v>
      </c>
      <c r="BC16" s="103">
        <v>0</v>
      </c>
      <c r="BD16" s="103">
        <v>0</v>
      </c>
      <c r="BE16" s="103">
        <v>0</v>
      </c>
      <c r="BF16" s="103">
        <v>0</v>
      </c>
      <c r="BG16" s="103">
        <v>0</v>
      </c>
      <c r="BH16" s="103">
        <v>0</v>
      </c>
      <c r="BI16" s="103">
        <v>0</v>
      </c>
      <c r="BJ16" s="103">
        <v>0</v>
      </c>
      <c r="BK16" s="103">
        <v>0</v>
      </c>
      <c r="BL16" s="103">
        <v>0</v>
      </c>
      <c r="BM16" s="103">
        <v>0</v>
      </c>
      <c r="BN16" s="103">
        <v>0</v>
      </c>
      <c r="BO16" s="103">
        <v>1</v>
      </c>
      <c r="BP16" s="103">
        <v>0</v>
      </c>
      <c r="BQ16" s="103">
        <v>0</v>
      </c>
      <c r="BR16" s="103">
        <v>0</v>
      </c>
      <c r="BS16" s="103">
        <v>1</v>
      </c>
      <c r="BT16" s="103">
        <v>0</v>
      </c>
      <c r="BU16" s="103">
        <v>0</v>
      </c>
      <c r="BV16" s="103">
        <v>0</v>
      </c>
      <c r="BW16" s="103">
        <v>0</v>
      </c>
      <c r="BX16" s="103">
        <v>0</v>
      </c>
      <c r="BY16" s="103">
        <v>0</v>
      </c>
      <c r="BZ16" s="103">
        <v>0</v>
      </c>
      <c r="CA16" s="103">
        <v>0</v>
      </c>
      <c r="CB16" s="103">
        <v>0</v>
      </c>
      <c r="CC16" s="103">
        <v>0</v>
      </c>
      <c r="CD16" s="103">
        <v>1</v>
      </c>
      <c r="CE16" s="103">
        <v>0</v>
      </c>
      <c r="CF16" s="103">
        <v>0</v>
      </c>
      <c r="CG16" s="103">
        <v>0</v>
      </c>
      <c r="CH16" s="103">
        <v>0</v>
      </c>
      <c r="CI16" s="103">
        <v>0</v>
      </c>
      <c r="CJ16" s="103">
        <v>0</v>
      </c>
      <c r="CK16" s="103">
        <v>0</v>
      </c>
      <c r="CL16" s="103">
        <v>0</v>
      </c>
      <c r="CM16" s="103">
        <v>0</v>
      </c>
      <c r="CN16" s="103">
        <v>0</v>
      </c>
      <c r="CO16" s="103">
        <v>0</v>
      </c>
      <c r="CP16" s="103">
        <v>0</v>
      </c>
      <c r="CQ16" s="103">
        <v>0</v>
      </c>
      <c r="CR16" s="103">
        <v>0</v>
      </c>
      <c r="CS16" s="103">
        <v>0</v>
      </c>
      <c r="CT16" s="103">
        <v>0</v>
      </c>
      <c r="CU16" s="103">
        <v>1</v>
      </c>
      <c r="CV16" s="103">
        <v>0</v>
      </c>
      <c r="CW16" s="103">
        <v>0</v>
      </c>
      <c r="CX16" s="103">
        <v>0</v>
      </c>
      <c r="CY16" s="103">
        <v>0</v>
      </c>
      <c r="CZ16" s="103">
        <v>0</v>
      </c>
      <c r="DA16" s="103">
        <v>0</v>
      </c>
      <c r="DB16" s="103">
        <v>0</v>
      </c>
      <c r="DC16" s="103">
        <v>1</v>
      </c>
      <c r="DD16" s="103">
        <v>0</v>
      </c>
      <c r="DE16" s="103">
        <v>0</v>
      </c>
      <c r="DF16" s="103">
        <v>0</v>
      </c>
      <c r="DG16" s="103">
        <v>0</v>
      </c>
      <c r="DH16" s="103">
        <v>0</v>
      </c>
      <c r="DI16" s="103">
        <v>0</v>
      </c>
      <c r="DJ16" s="103">
        <v>0</v>
      </c>
      <c r="DK16" s="103">
        <v>0</v>
      </c>
      <c r="DL16" s="103">
        <v>0</v>
      </c>
      <c r="DM16" s="103">
        <v>0</v>
      </c>
      <c r="DN16" s="103">
        <v>0</v>
      </c>
      <c r="DO16" s="103">
        <v>0</v>
      </c>
      <c r="DP16" s="103">
        <v>1</v>
      </c>
      <c r="DQ16" s="103">
        <v>0</v>
      </c>
      <c r="DR16" s="103">
        <v>0</v>
      </c>
      <c r="DS16" s="103">
        <v>0</v>
      </c>
      <c r="DT16" s="103">
        <v>0</v>
      </c>
      <c r="DU16" s="103">
        <v>0</v>
      </c>
      <c r="DV16" s="103">
        <v>0</v>
      </c>
      <c r="DW16" s="103">
        <v>0</v>
      </c>
      <c r="DX16" s="103">
        <v>0</v>
      </c>
      <c r="DY16" s="103">
        <v>0</v>
      </c>
      <c r="DZ16" s="103">
        <v>0</v>
      </c>
      <c r="EA16" s="103">
        <v>0</v>
      </c>
      <c r="EB16" s="103">
        <v>0</v>
      </c>
      <c r="EC16" s="103">
        <v>0</v>
      </c>
      <c r="ED16" s="103">
        <v>0</v>
      </c>
      <c r="EE16" s="103">
        <v>0</v>
      </c>
      <c r="EF16" s="103">
        <v>0</v>
      </c>
      <c r="EG16" s="103">
        <v>0</v>
      </c>
      <c r="EH16" s="103">
        <v>0</v>
      </c>
      <c r="EI16" s="103">
        <v>0</v>
      </c>
      <c r="EJ16" s="103">
        <v>0</v>
      </c>
      <c r="EK16" s="103">
        <v>0</v>
      </c>
      <c r="EL16" s="103">
        <v>0</v>
      </c>
      <c r="EM16" s="103">
        <v>0</v>
      </c>
      <c r="EN16" s="103">
        <v>0</v>
      </c>
      <c r="EO16" s="103">
        <v>0</v>
      </c>
      <c r="EP16" s="103">
        <v>0</v>
      </c>
      <c r="EQ16" s="103">
        <v>0</v>
      </c>
      <c r="ER16" s="103">
        <v>1</v>
      </c>
      <c r="ES16" s="103">
        <v>0</v>
      </c>
      <c r="ET16" s="103">
        <v>0</v>
      </c>
      <c r="EU16" s="103">
        <v>0</v>
      </c>
      <c r="EV16" s="103">
        <v>0</v>
      </c>
      <c r="EW16" s="103">
        <v>0</v>
      </c>
      <c r="EX16" s="103">
        <v>0</v>
      </c>
      <c r="EY16" s="103">
        <v>0</v>
      </c>
      <c r="EZ16" s="103">
        <v>0</v>
      </c>
      <c r="FA16" s="103">
        <v>0</v>
      </c>
      <c r="FB16" s="103">
        <v>0</v>
      </c>
      <c r="FC16" s="103">
        <v>0</v>
      </c>
      <c r="FD16" s="103">
        <v>0</v>
      </c>
      <c r="FE16" s="103">
        <v>0</v>
      </c>
      <c r="FF16" s="103">
        <v>0</v>
      </c>
      <c r="FG16" s="103">
        <v>0</v>
      </c>
      <c r="FH16" s="103">
        <v>0</v>
      </c>
      <c r="FI16" s="103">
        <v>0</v>
      </c>
      <c r="FJ16" s="103">
        <v>0</v>
      </c>
      <c r="FK16" s="103">
        <v>0</v>
      </c>
      <c r="FL16" s="103">
        <v>0</v>
      </c>
      <c r="FM16" s="103">
        <v>0</v>
      </c>
      <c r="FN16" s="103">
        <v>0</v>
      </c>
      <c r="FO16" s="103">
        <v>0</v>
      </c>
    </row>
    <row r="17" spans="1:171" s="174" customFormat="1" x14ac:dyDescent="0.25">
      <c r="A17" s="175" t="s">
        <v>29</v>
      </c>
      <c r="B17" s="172" t="str">
        <f t="shared" si="0"/>
        <v>INN3368C-H301-TL</v>
      </c>
      <c r="C17" s="170" t="s">
        <v>129</v>
      </c>
      <c r="D17" s="176"/>
      <c r="E17" s="170" t="s">
        <v>437</v>
      </c>
      <c r="F17" s="177"/>
      <c r="G17" s="177"/>
      <c r="H17" s="177" t="s">
        <v>34</v>
      </c>
      <c r="I17" s="178">
        <v>6</v>
      </c>
      <c r="J17" s="178">
        <v>8</v>
      </c>
      <c r="K17" s="153">
        <v>8</v>
      </c>
      <c r="L17" s="154">
        <v>8</v>
      </c>
      <c r="M17" s="179">
        <v>115</v>
      </c>
      <c r="N17" s="180">
        <v>1650</v>
      </c>
      <c r="O17" s="78">
        <v>9.1</v>
      </c>
      <c r="P17" s="180">
        <v>25</v>
      </c>
      <c r="Q17" s="180">
        <v>0</v>
      </c>
      <c r="R17" s="180">
        <v>0</v>
      </c>
      <c r="S17" s="180">
        <v>0</v>
      </c>
      <c r="T17" s="180">
        <v>0</v>
      </c>
      <c r="U17" s="180">
        <v>0</v>
      </c>
      <c r="V17" s="180">
        <v>0</v>
      </c>
      <c r="W17" s="180">
        <v>0</v>
      </c>
      <c r="X17" s="180">
        <v>0</v>
      </c>
      <c r="Y17" s="180">
        <v>0</v>
      </c>
      <c r="Z17" s="180">
        <v>0</v>
      </c>
      <c r="AA17" s="180">
        <v>0</v>
      </c>
      <c r="AB17" s="180">
        <v>0</v>
      </c>
      <c r="AC17" s="180">
        <v>1</v>
      </c>
      <c r="AD17" s="181" t="s">
        <v>32</v>
      </c>
      <c r="AE17" s="180">
        <v>1</v>
      </c>
      <c r="AF17" s="182">
        <v>0</v>
      </c>
      <c r="AG17" s="183">
        <v>675</v>
      </c>
      <c r="AH17" s="184">
        <v>630</v>
      </c>
      <c r="AI17" s="180">
        <v>13</v>
      </c>
      <c r="AJ17" s="180">
        <v>0</v>
      </c>
      <c r="AK17" s="180">
        <v>17</v>
      </c>
      <c r="AL17" s="180">
        <v>11</v>
      </c>
      <c r="AM17" s="180">
        <v>0</v>
      </c>
      <c r="AN17" s="180">
        <v>0</v>
      </c>
      <c r="AO17" s="106">
        <v>132</v>
      </c>
      <c r="AP17" s="114">
        <v>3.2000000000000001E-2</v>
      </c>
      <c r="AQ17" s="79">
        <v>5</v>
      </c>
      <c r="AR17" s="103">
        <v>0</v>
      </c>
      <c r="AS17" s="103">
        <v>0</v>
      </c>
      <c r="AT17" s="103">
        <v>0</v>
      </c>
      <c r="AU17" s="103">
        <v>0</v>
      </c>
      <c r="AV17" s="103">
        <v>0</v>
      </c>
      <c r="AW17" s="103">
        <v>0</v>
      </c>
      <c r="AX17" s="103">
        <v>0</v>
      </c>
      <c r="AY17" s="103">
        <v>0</v>
      </c>
      <c r="AZ17" s="103">
        <v>0</v>
      </c>
      <c r="BA17" s="103">
        <v>0</v>
      </c>
      <c r="BB17" s="103">
        <v>0</v>
      </c>
      <c r="BC17" s="103">
        <v>0</v>
      </c>
      <c r="BD17" s="103">
        <v>0</v>
      </c>
      <c r="BE17" s="103">
        <v>0</v>
      </c>
      <c r="BF17" s="103">
        <v>0</v>
      </c>
      <c r="BG17" s="103">
        <v>0</v>
      </c>
      <c r="BH17" s="103">
        <v>0</v>
      </c>
      <c r="BI17" s="103">
        <v>0</v>
      </c>
      <c r="BJ17" s="103">
        <v>0</v>
      </c>
      <c r="BK17" s="103">
        <v>0</v>
      </c>
      <c r="BL17" s="103">
        <v>0</v>
      </c>
      <c r="BM17" s="103">
        <v>0</v>
      </c>
      <c r="BN17" s="103">
        <v>0</v>
      </c>
      <c r="BO17" s="103">
        <v>1</v>
      </c>
      <c r="BP17" s="103">
        <v>0</v>
      </c>
      <c r="BQ17" s="103">
        <v>0</v>
      </c>
      <c r="BR17" s="103">
        <v>0</v>
      </c>
      <c r="BS17" s="103">
        <v>1</v>
      </c>
      <c r="BT17" s="103">
        <v>0</v>
      </c>
      <c r="BU17" s="103">
        <v>0</v>
      </c>
      <c r="BV17" s="103">
        <v>0</v>
      </c>
      <c r="BW17" s="103">
        <v>0</v>
      </c>
      <c r="BX17" s="103">
        <v>0</v>
      </c>
      <c r="BY17" s="103">
        <v>0</v>
      </c>
      <c r="BZ17" s="103">
        <v>0</v>
      </c>
      <c r="CA17" s="103">
        <v>0</v>
      </c>
      <c r="CB17" s="103">
        <v>0</v>
      </c>
      <c r="CC17" s="103">
        <v>0</v>
      </c>
      <c r="CD17" s="103">
        <v>1</v>
      </c>
      <c r="CE17" s="103">
        <v>0</v>
      </c>
      <c r="CF17" s="103">
        <v>0</v>
      </c>
      <c r="CG17" s="103">
        <v>0</v>
      </c>
      <c r="CH17" s="103">
        <v>0</v>
      </c>
      <c r="CI17" s="103">
        <v>0</v>
      </c>
      <c r="CJ17" s="103">
        <v>0</v>
      </c>
      <c r="CK17" s="103">
        <v>0</v>
      </c>
      <c r="CL17" s="103">
        <v>0</v>
      </c>
      <c r="CM17" s="103">
        <v>0</v>
      </c>
      <c r="CN17" s="103">
        <v>0</v>
      </c>
      <c r="CO17" s="103">
        <v>0</v>
      </c>
      <c r="CP17" s="103">
        <v>0</v>
      </c>
      <c r="CQ17" s="103">
        <v>0</v>
      </c>
      <c r="CR17" s="103">
        <v>0</v>
      </c>
      <c r="CS17" s="103">
        <v>0</v>
      </c>
      <c r="CT17" s="103">
        <v>0</v>
      </c>
      <c r="CU17" s="103">
        <v>1</v>
      </c>
      <c r="CV17" s="103">
        <v>0</v>
      </c>
      <c r="CW17" s="103">
        <v>0</v>
      </c>
      <c r="CX17" s="103">
        <v>0</v>
      </c>
      <c r="CY17" s="103">
        <v>0</v>
      </c>
      <c r="CZ17" s="103">
        <v>0</v>
      </c>
      <c r="DA17" s="103">
        <v>0</v>
      </c>
      <c r="DB17" s="103">
        <v>0</v>
      </c>
      <c r="DC17" s="103">
        <v>1</v>
      </c>
      <c r="DD17" s="103">
        <v>0</v>
      </c>
      <c r="DE17" s="103">
        <v>0</v>
      </c>
      <c r="DF17" s="103">
        <v>0</v>
      </c>
      <c r="DG17" s="103">
        <v>0</v>
      </c>
      <c r="DH17" s="103">
        <v>0</v>
      </c>
      <c r="DI17" s="103">
        <v>0</v>
      </c>
      <c r="DJ17" s="103">
        <v>0</v>
      </c>
      <c r="DK17" s="103">
        <v>0</v>
      </c>
      <c r="DL17" s="103">
        <v>0</v>
      </c>
      <c r="DM17" s="103">
        <v>0</v>
      </c>
      <c r="DN17" s="103">
        <v>0</v>
      </c>
      <c r="DO17" s="103">
        <v>0</v>
      </c>
      <c r="DP17" s="103">
        <v>1</v>
      </c>
      <c r="DQ17" s="103">
        <v>0</v>
      </c>
      <c r="DR17" s="103">
        <v>0</v>
      </c>
      <c r="DS17" s="103">
        <v>0</v>
      </c>
      <c r="DT17" s="103">
        <v>0</v>
      </c>
      <c r="DU17" s="103">
        <v>0</v>
      </c>
      <c r="DV17" s="103">
        <v>0</v>
      </c>
      <c r="DW17" s="103">
        <v>0</v>
      </c>
      <c r="DX17" s="103">
        <v>0</v>
      </c>
      <c r="DY17" s="103">
        <v>0</v>
      </c>
      <c r="DZ17" s="103">
        <v>0</v>
      </c>
      <c r="EA17" s="103">
        <v>0</v>
      </c>
      <c r="EB17" s="103">
        <v>0</v>
      </c>
      <c r="EC17" s="103">
        <v>0</v>
      </c>
      <c r="ED17" s="103">
        <v>0</v>
      </c>
      <c r="EE17" s="103">
        <v>0</v>
      </c>
      <c r="EF17" s="103">
        <v>0</v>
      </c>
      <c r="EG17" s="103">
        <v>0</v>
      </c>
      <c r="EH17" s="103">
        <v>0</v>
      </c>
      <c r="EI17" s="103">
        <v>0</v>
      </c>
      <c r="EJ17" s="103">
        <v>0</v>
      </c>
      <c r="EK17" s="103">
        <v>0</v>
      </c>
      <c r="EL17" s="103">
        <v>0</v>
      </c>
      <c r="EM17" s="103">
        <v>0</v>
      </c>
      <c r="EN17" s="103">
        <v>0</v>
      </c>
      <c r="EO17" s="103">
        <v>0</v>
      </c>
      <c r="EP17" s="103">
        <v>0</v>
      </c>
      <c r="EQ17" s="103">
        <v>0</v>
      </c>
      <c r="ER17" s="103">
        <v>1</v>
      </c>
      <c r="ES17" s="103">
        <v>0</v>
      </c>
      <c r="ET17" s="103">
        <v>0</v>
      </c>
      <c r="EU17" s="103">
        <v>0</v>
      </c>
      <c r="EV17" s="103">
        <v>0</v>
      </c>
      <c r="EW17" s="103">
        <v>0</v>
      </c>
      <c r="EX17" s="103">
        <v>0</v>
      </c>
      <c r="EY17" s="103">
        <v>0</v>
      </c>
      <c r="EZ17" s="103">
        <v>0</v>
      </c>
      <c r="FA17" s="103">
        <v>0</v>
      </c>
      <c r="FB17" s="103">
        <v>0</v>
      </c>
      <c r="FC17" s="103">
        <v>0</v>
      </c>
      <c r="FD17" s="103">
        <v>0</v>
      </c>
      <c r="FE17" s="103">
        <v>0</v>
      </c>
      <c r="FF17" s="103">
        <v>0</v>
      </c>
      <c r="FG17" s="103">
        <v>0</v>
      </c>
      <c r="FH17" s="103">
        <v>0</v>
      </c>
      <c r="FI17" s="103">
        <v>0</v>
      </c>
      <c r="FJ17" s="103">
        <v>0</v>
      </c>
      <c r="FK17" s="103">
        <v>0</v>
      </c>
      <c r="FL17" s="103">
        <v>0</v>
      </c>
      <c r="FM17" s="103">
        <v>0</v>
      </c>
      <c r="FN17" s="103">
        <v>0</v>
      </c>
      <c r="FO17" s="103">
        <v>0</v>
      </c>
    </row>
    <row r="18" spans="1:171" s="174" customFormat="1" x14ac:dyDescent="0.25">
      <c r="A18" s="175" t="s">
        <v>29</v>
      </c>
      <c r="B18" s="172" t="str">
        <f t="shared" si="0"/>
        <v>INN3375C-H301-TL</v>
      </c>
      <c r="C18" s="176" t="s">
        <v>129</v>
      </c>
      <c r="D18" s="176"/>
      <c r="E18" s="170" t="s">
        <v>438</v>
      </c>
      <c r="F18" s="177"/>
      <c r="G18" s="177"/>
      <c r="H18" s="177" t="s">
        <v>34</v>
      </c>
      <c r="I18" s="178">
        <v>7</v>
      </c>
      <c r="J18" s="178">
        <v>5</v>
      </c>
      <c r="K18" s="153">
        <v>5</v>
      </c>
      <c r="L18" s="154">
        <v>5</v>
      </c>
      <c r="M18" s="179">
        <v>115</v>
      </c>
      <c r="N18" s="180">
        <v>950</v>
      </c>
      <c r="O18" s="78">
        <v>9.1</v>
      </c>
      <c r="P18" s="180">
        <v>25</v>
      </c>
      <c r="Q18" s="180">
        <v>0</v>
      </c>
      <c r="R18" s="180">
        <v>0</v>
      </c>
      <c r="S18" s="180">
        <v>0</v>
      </c>
      <c r="T18" s="180">
        <v>0</v>
      </c>
      <c r="U18" s="180">
        <v>0</v>
      </c>
      <c r="V18" s="180">
        <v>0</v>
      </c>
      <c r="W18" s="180">
        <v>0</v>
      </c>
      <c r="X18" s="180">
        <v>0</v>
      </c>
      <c r="Y18" s="180">
        <v>0</v>
      </c>
      <c r="Z18" s="180">
        <v>0</v>
      </c>
      <c r="AA18" s="180">
        <v>0</v>
      </c>
      <c r="AB18" s="180">
        <v>0</v>
      </c>
      <c r="AC18" s="180">
        <v>1</v>
      </c>
      <c r="AD18" s="181" t="s">
        <v>32</v>
      </c>
      <c r="AE18" s="180">
        <v>1</v>
      </c>
      <c r="AF18" s="182">
        <v>0</v>
      </c>
      <c r="AG18" s="183">
        <v>750</v>
      </c>
      <c r="AH18" s="184">
        <v>705</v>
      </c>
      <c r="AI18" s="180">
        <v>10</v>
      </c>
      <c r="AJ18" s="180">
        <v>0</v>
      </c>
      <c r="AK18" s="180">
        <v>31</v>
      </c>
      <c r="AL18" s="180">
        <v>6</v>
      </c>
      <c r="AM18" s="180">
        <v>0</v>
      </c>
      <c r="AN18" s="180">
        <v>0</v>
      </c>
      <c r="AO18" s="162">
        <v>132</v>
      </c>
      <c r="AP18" s="163">
        <v>3.2000000000000001E-2</v>
      </c>
      <c r="AQ18" s="164">
        <v>5</v>
      </c>
      <c r="AR18" s="103">
        <v>0</v>
      </c>
      <c r="AS18" s="103">
        <v>0</v>
      </c>
      <c r="AT18" s="103">
        <v>0</v>
      </c>
      <c r="AU18" s="103">
        <v>0</v>
      </c>
      <c r="AV18" s="103">
        <v>0</v>
      </c>
      <c r="AW18" s="103">
        <v>0</v>
      </c>
      <c r="AX18" s="103">
        <v>0</v>
      </c>
      <c r="AY18" s="103">
        <v>0</v>
      </c>
      <c r="AZ18" s="103">
        <v>0</v>
      </c>
      <c r="BA18" s="103">
        <v>0</v>
      </c>
      <c r="BB18" s="103">
        <v>0</v>
      </c>
      <c r="BC18" s="103">
        <v>0</v>
      </c>
      <c r="BD18" s="103">
        <v>0</v>
      </c>
      <c r="BE18" s="103">
        <v>0</v>
      </c>
      <c r="BF18" s="103">
        <v>0</v>
      </c>
      <c r="BG18" s="103">
        <v>0</v>
      </c>
      <c r="BH18" s="103">
        <v>0</v>
      </c>
      <c r="BI18" s="103">
        <v>0</v>
      </c>
      <c r="BJ18" s="103">
        <v>0</v>
      </c>
      <c r="BK18" s="103">
        <v>0</v>
      </c>
      <c r="BL18" s="103">
        <v>0</v>
      </c>
      <c r="BM18" s="103">
        <v>0</v>
      </c>
      <c r="BN18" s="103">
        <v>0</v>
      </c>
      <c r="BO18" s="103">
        <v>1</v>
      </c>
      <c r="BP18" s="103">
        <v>0</v>
      </c>
      <c r="BQ18" s="103">
        <v>0</v>
      </c>
      <c r="BR18" s="103">
        <v>0</v>
      </c>
      <c r="BS18" s="103">
        <v>1</v>
      </c>
      <c r="BT18" s="103">
        <v>0</v>
      </c>
      <c r="BU18" s="103">
        <v>0</v>
      </c>
      <c r="BV18" s="103">
        <v>0</v>
      </c>
      <c r="BW18" s="103">
        <v>0</v>
      </c>
      <c r="BX18" s="103">
        <v>0</v>
      </c>
      <c r="BY18" s="103">
        <v>0</v>
      </c>
      <c r="BZ18" s="103">
        <v>0</v>
      </c>
      <c r="CA18" s="103">
        <v>0</v>
      </c>
      <c r="CB18" s="103">
        <v>0</v>
      </c>
      <c r="CC18" s="103">
        <v>0</v>
      </c>
      <c r="CD18" s="103">
        <v>1</v>
      </c>
      <c r="CE18" s="103">
        <v>0</v>
      </c>
      <c r="CF18" s="103">
        <v>0</v>
      </c>
      <c r="CG18" s="103">
        <v>0</v>
      </c>
      <c r="CH18" s="103">
        <v>0</v>
      </c>
      <c r="CI18" s="103">
        <v>0</v>
      </c>
      <c r="CJ18" s="103">
        <v>0</v>
      </c>
      <c r="CK18" s="103">
        <v>0</v>
      </c>
      <c r="CL18" s="103">
        <v>0</v>
      </c>
      <c r="CM18" s="103">
        <v>0</v>
      </c>
      <c r="CN18" s="103">
        <v>0</v>
      </c>
      <c r="CO18" s="103">
        <v>0</v>
      </c>
      <c r="CP18" s="103">
        <v>0</v>
      </c>
      <c r="CQ18" s="103">
        <v>0</v>
      </c>
      <c r="CR18" s="103">
        <v>0</v>
      </c>
      <c r="CS18" s="103">
        <v>0</v>
      </c>
      <c r="CT18" s="103">
        <v>0</v>
      </c>
      <c r="CU18" s="103">
        <v>1</v>
      </c>
      <c r="CV18" s="103">
        <v>0</v>
      </c>
      <c r="CW18" s="103">
        <v>0</v>
      </c>
      <c r="CX18" s="103">
        <v>0</v>
      </c>
      <c r="CY18" s="103">
        <v>0</v>
      </c>
      <c r="CZ18" s="103">
        <v>0</v>
      </c>
      <c r="DA18" s="103">
        <v>0</v>
      </c>
      <c r="DB18" s="103">
        <v>0</v>
      </c>
      <c r="DC18" s="103">
        <v>1</v>
      </c>
      <c r="DD18" s="103">
        <v>0</v>
      </c>
      <c r="DE18" s="103">
        <v>0</v>
      </c>
      <c r="DF18" s="103">
        <v>0</v>
      </c>
      <c r="DG18" s="103">
        <v>0</v>
      </c>
      <c r="DH18" s="103">
        <v>0</v>
      </c>
      <c r="DI18" s="103">
        <v>0</v>
      </c>
      <c r="DJ18" s="103">
        <v>0</v>
      </c>
      <c r="DK18" s="103">
        <v>0</v>
      </c>
      <c r="DL18" s="103">
        <v>0</v>
      </c>
      <c r="DM18" s="103">
        <v>0</v>
      </c>
      <c r="DN18" s="103">
        <v>0</v>
      </c>
      <c r="DO18" s="103">
        <v>0</v>
      </c>
      <c r="DP18" s="103">
        <v>1</v>
      </c>
      <c r="DQ18" s="103">
        <v>0</v>
      </c>
      <c r="DR18" s="103">
        <v>0</v>
      </c>
      <c r="DS18" s="103">
        <v>0</v>
      </c>
      <c r="DT18" s="103">
        <v>0</v>
      </c>
      <c r="DU18" s="103">
        <v>0</v>
      </c>
      <c r="DV18" s="103">
        <v>0</v>
      </c>
      <c r="DW18" s="103">
        <v>0</v>
      </c>
      <c r="DX18" s="103">
        <v>0</v>
      </c>
      <c r="DY18" s="103">
        <v>0</v>
      </c>
      <c r="DZ18" s="103">
        <v>0</v>
      </c>
      <c r="EA18" s="103">
        <v>0</v>
      </c>
      <c r="EB18" s="103">
        <v>0</v>
      </c>
      <c r="EC18" s="103">
        <v>0</v>
      </c>
      <c r="ED18" s="103">
        <v>0</v>
      </c>
      <c r="EE18" s="103">
        <v>0</v>
      </c>
      <c r="EF18" s="103">
        <v>0</v>
      </c>
      <c r="EG18" s="103">
        <v>0</v>
      </c>
      <c r="EH18" s="103">
        <v>0</v>
      </c>
      <c r="EI18" s="103">
        <v>0</v>
      </c>
      <c r="EJ18" s="103">
        <v>0</v>
      </c>
      <c r="EK18" s="103">
        <v>0</v>
      </c>
      <c r="EL18" s="103">
        <v>0</v>
      </c>
      <c r="EM18" s="103">
        <v>0</v>
      </c>
      <c r="EN18" s="103">
        <v>0</v>
      </c>
      <c r="EO18" s="103">
        <v>0</v>
      </c>
      <c r="EP18" s="103">
        <v>0</v>
      </c>
      <c r="EQ18" s="103">
        <v>0</v>
      </c>
      <c r="ER18" s="103">
        <v>1</v>
      </c>
      <c r="ES18" s="103">
        <v>0</v>
      </c>
      <c r="ET18" s="103">
        <v>0</v>
      </c>
      <c r="EU18" s="103">
        <v>0</v>
      </c>
      <c r="EV18" s="103">
        <v>0</v>
      </c>
      <c r="EW18" s="103">
        <v>0</v>
      </c>
      <c r="EX18" s="103">
        <v>0</v>
      </c>
      <c r="EY18" s="103">
        <v>0</v>
      </c>
      <c r="EZ18" s="103">
        <v>0</v>
      </c>
      <c r="FA18" s="103">
        <v>0</v>
      </c>
      <c r="FB18" s="103">
        <v>0</v>
      </c>
      <c r="FC18" s="103">
        <v>0</v>
      </c>
      <c r="FD18" s="103">
        <v>0</v>
      </c>
      <c r="FE18" s="103">
        <v>0</v>
      </c>
      <c r="FF18" s="103">
        <v>0</v>
      </c>
      <c r="FG18" s="103">
        <v>0</v>
      </c>
      <c r="FH18" s="103">
        <v>0</v>
      </c>
      <c r="FI18" s="103">
        <v>0</v>
      </c>
      <c r="FJ18" s="103">
        <v>0</v>
      </c>
      <c r="FK18" s="103">
        <v>0</v>
      </c>
      <c r="FL18" s="103">
        <v>0</v>
      </c>
      <c r="FM18" s="103">
        <v>0</v>
      </c>
      <c r="FN18" s="103">
        <v>0</v>
      </c>
      <c r="FO18" s="103">
        <v>0</v>
      </c>
    </row>
    <row r="19" spans="1:171" s="174" customFormat="1" x14ac:dyDescent="0.25">
      <c r="A19" s="175" t="s">
        <v>29</v>
      </c>
      <c r="B19" s="172" t="str">
        <f t="shared" si="0"/>
        <v>INN3376C-H301-TL</v>
      </c>
      <c r="C19" s="176" t="s">
        <v>129</v>
      </c>
      <c r="D19" s="176"/>
      <c r="E19" s="170" t="s">
        <v>439</v>
      </c>
      <c r="F19" s="177"/>
      <c r="G19" s="177"/>
      <c r="H19" s="177" t="s">
        <v>34</v>
      </c>
      <c r="I19" s="178">
        <v>7</v>
      </c>
      <c r="J19" s="178">
        <v>6</v>
      </c>
      <c r="K19" s="153">
        <v>6</v>
      </c>
      <c r="L19" s="154">
        <v>6</v>
      </c>
      <c r="M19" s="179">
        <v>115</v>
      </c>
      <c r="N19" s="180">
        <v>1250</v>
      </c>
      <c r="O19" s="78">
        <v>9.1</v>
      </c>
      <c r="P19" s="180">
        <v>25</v>
      </c>
      <c r="Q19" s="180">
        <v>0</v>
      </c>
      <c r="R19" s="180">
        <v>0</v>
      </c>
      <c r="S19" s="180">
        <v>0</v>
      </c>
      <c r="T19" s="180">
        <v>0</v>
      </c>
      <c r="U19" s="180">
        <v>0</v>
      </c>
      <c r="V19" s="180">
        <v>0</v>
      </c>
      <c r="W19" s="180">
        <v>0</v>
      </c>
      <c r="X19" s="180">
        <v>0</v>
      </c>
      <c r="Y19" s="180">
        <v>0</v>
      </c>
      <c r="Z19" s="180">
        <v>0</v>
      </c>
      <c r="AA19" s="180">
        <v>0</v>
      </c>
      <c r="AB19" s="180">
        <v>0</v>
      </c>
      <c r="AC19" s="180">
        <v>1</v>
      </c>
      <c r="AD19" s="181" t="s">
        <v>32</v>
      </c>
      <c r="AE19" s="180">
        <v>1</v>
      </c>
      <c r="AF19" s="182">
        <v>0</v>
      </c>
      <c r="AG19" s="183">
        <v>750</v>
      </c>
      <c r="AH19" s="184">
        <v>705</v>
      </c>
      <c r="AI19" s="180">
        <v>9</v>
      </c>
      <c r="AJ19" s="180">
        <v>0</v>
      </c>
      <c r="AK19" s="180">
        <v>20</v>
      </c>
      <c r="AL19" s="180">
        <v>5</v>
      </c>
      <c r="AM19" s="180">
        <v>0</v>
      </c>
      <c r="AN19" s="180">
        <v>0</v>
      </c>
      <c r="AO19" s="162">
        <v>132</v>
      </c>
      <c r="AP19" s="163">
        <v>3.2000000000000001E-2</v>
      </c>
      <c r="AQ19" s="164">
        <v>5</v>
      </c>
      <c r="AR19" s="103">
        <v>0</v>
      </c>
      <c r="AS19" s="103">
        <v>0</v>
      </c>
      <c r="AT19" s="103">
        <v>0</v>
      </c>
      <c r="AU19" s="103">
        <v>0</v>
      </c>
      <c r="AV19" s="103">
        <v>0</v>
      </c>
      <c r="AW19" s="103">
        <v>0</v>
      </c>
      <c r="AX19" s="103">
        <v>0</v>
      </c>
      <c r="AY19" s="103">
        <v>0</v>
      </c>
      <c r="AZ19" s="103">
        <v>0</v>
      </c>
      <c r="BA19" s="103">
        <v>0</v>
      </c>
      <c r="BB19" s="103">
        <v>0</v>
      </c>
      <c r="BC19" s="103">
        <v>0</v>
      </c>
      <c r="BD19" s="103">
        <v>0</v>
      </c>
      <c r="BE19" s="103">
        <v>0</v>
      </c>
      <c r="BF19" s="103">
        <v>0</v>
      </c>
      <c r="BG19" s="103">
        <v>0</v>
      </c>
      <c r="BH19" s="103">
        <v>0</v>
      </c>
      <c r="BI19" s="103">
        <v>0</v>
      </c>
      <c r="BJ19" s="103">
        <v>0</v>
      </c>
      <c r="BK19" s="103">
        <v>0</v>
      </c>
      <c r="BL19" s="103">
        <v>0</v>
      </c>
      <c r="BM19" s="103">
        <v>0</v>
      </c>
      <c r="BN19" s="103">
        <v>0</v>
      </c>
      <c r="BO19" s="103">
        <v>1</v>
      </c>
      <c r="BP19" s="103">
        <v>0</v>
      </c>
      <c r="BQ19" s="103">
        <v>0</v>
      </c>
      <c r="BR19" s="103">
        <v>0</v>
      </c>
      <c r="BS19" s="103">
        <v>1</v>
      </c>
      <c r="BT19" s="103">
        <v>0</v>
      </c>
      <c r="BU19" s="103">
        <v>0</v>
      </c>
      <c r="BV19" s="103">
        <v>0</v>
      </c>
      <c r="BW19" s="103">
        <v>0</v>
      </c>
      <c r="BX19" s="103">
        <v>0</v>
      </c>
      <c r="BY19" s="103">
        <v>0</v>
      </c>
      <c r="BZ19" s="103">
        <v>0</v>
      </c>
      <c r="CA19" s="103">
        <v>0</v>
      </c>
      <c r="CB19" s="103">
        <v>0</v>
      </c>
      <c r="CC19" s="103">
        <v>0</v>
      </c>
      <c r="CD19" s="103">
        <v>1</v>
      </c>
      <c r="CE19" s="103">
        <v>0</v>
      </c>
      <c r="CF19" s="103">
        <v>0</v>
      </c>
      <c r="CG19" s="103">
        <v>0</v>
      </c>
      <c r="CH19" s="103">
        <v>0</v>
      </c>
      <c r="CI19" s="103">
        <v>0</v>
      </c>
      <c r="CJ19" s="103">
        <v>0</v>
      </c>
      <c r="CK19" s="103">
        <v>0</v>
      </c>
      <c r="CL19" s="103">
        <v>0</v>
      </c>
      <c r="CM19" s="103">
        <v>0</v>
      </c>
      <c r="CN19" s="103">
        <v>0</v>
      </c>
      <c r="CO19" s="103">
        <v>0</v>
      </c>
      <c r="CP19" s="103">
        <v>0</v>
      </c>
      <c r="CQ19" s="103">
        <v>0</v>
      </c>
      <c r="CR19" s="103">
        <v>0</v>
      </c>
      <c r="CS19" s="103">
        <v>0</v>
      </c>
      <c r="CT19" s="103">
        <v>0</v>
      </c>
      <c r="CU19" s="103">
        <v>1</v>
      </c>
      <c r="CV19" s="103">
        <v>0</v>
      </c>
      <c r="CW19" s="103">
        <v>0</v>
      </c>
      <c r="CX19" s="103">
        <v>0</v>
      </c>
      <c r="CY19" s="103">
        <v>0</v>
      </c>
      <c r="CZ19" s="103">
        <v>0</v>
      </c>
      <c r="DA19" s="103">
        <v>0</v>
      </c>
      <c r="DB19" s="103">
        <v>0</v>
      </c>
      <c r="DC19" s="103">
        <v>1</v>
      </c>
      <c r="DD19" s="103">
        <v>0</v>
      </c>
      <c r="DE19" s="103">
        <v>0</v>
      </c>
      <c r="DF19" s="103">
        <v>0</v>
      </c>
      <c r="DG19" s="103">
        <v>0</v>
      </c>
      <c r="DH19" s="103">
        <v>0</v>
      </c>
      <c r="DI19" s="103">
        <v>0</v>
      </c>
      <c r="DJ19" s="103">
        <v>0</v>
      </c>
      <c r="DK19" s="103">
        <v>0</v>
      </c>
      <c r="DL19" s="103">
        <v>0</v>
      </c>
      <c r="DM19" s="103">
        <v>0</v>
      </c>
      <c r="DN19" s="103">
        <v>0</v>
      </c>
      <c r="DO19" s="103">
        <v>0</v>
      </c>
      <c r="DP19" s="103">
        <v>1</v>
      </c>
      <c r="DQ19" s="103">
        <v>0</v>
      </c>
      <c r="DR19" s="103">
        <v>0</v>
      </c>
      <c r="DS19" s="103">
        <v>0</v>
      </c>
      <c r="DT19" s="103">
        <v>0</v>
      </c>
      <c r="DU19" s="103">
        <v>0</v>
      </c>
      <c r="DV19" s="103">
        <v>0</v>
      </c>
      <c r="DW19" s="103">
        <v>0</v>
      </c>
      <c r="DX19" s="103">
        <v>0</v>
      </c>
      <c r="DY19" s="103">
        <v>0</v>
      </c>
      <c r="DZ19" s="103">
        <v>0</v>
      </c>
      <c r="EA19" s="103">
        <v>0</v>
      </c>
      <c r="EB19" s="103">
        <v>0</v>
      </c>
      <c r="EC19" s="103">
        <v>0</v>
      </c>
      <c r="ED19" s="103">
        <v>0</v>
      </c>
      <c r="EE19" s="103">
        <v>0</v>
      </c>
      <c r="EF19" s="103">
        <v>0</v>
      </c>
      <c r="EG19" s="103">
        <v>0</v>
      </c>
      <c r="EH19" s="103">
        <v>0</v>
      </c>
      <c r="EI19" s="103">
        <v>0</v>
      </c>
      <c r="EJ19" s="103">
        <v>0</v>
      </c>
      <c r="EK19" s="103">
        <v>0</v>
      </c>
      <c r="EL19" s="103">
        <v>0</v>
      </c>
      <c r="EM19" s="103">
        <v>0</v>
      </c>
      <c r="EN19" s="103">
        <v>0</v>
      </c>
      <c r="EO19" s="103">
        <v>0</v>
      </c>
      <c r="EP19" s="103">
        <v>0</v>
      </c>
      <c r="EQ19" s="103">
        <v>0</v>
      </c>
      <c r="ER19" s="103">
        <v>1</v>
      </c>
      <c r="ES19" s="103">
        <v>0</v>
      </c>
      <c r="ET19" s="103">
        <v>0</v>
      </c>
      <c r="EU19" s="103">
        <v>0</v>
      </c>
      <c r="EV19" s="103">
        <v>0</v>
      </c>
      <c r="EW19" s="103">
        <v>0</v>
      </c>
      <c r="EX19" s="103">
        <v>0</v>
      </c>
      <c r="EY19" s="103">
        <v>0</v>
      </c>
      <c r="EZ19" s="103">
        <v>0</v>
      </c>
      <c r="FA19" s="103">
        <v>0</v>
      </c>
      <c r="FB19" s="103">
        <v>0</v>
      </c>
      <c r="FC19" s="103">
        <v>0</v>
      </c>
      <c r="FD19" s="103">
        <v>0</v>
      </c>
      <c r="FE19" s="103">
        <v>0</v>
      </c>
      <c r="FF19" s="103">
        <v>0</v>
      </c>
      <c r="FG19" s="103">
        <v>0</v>
      </c>
      <c r="FH19" s="103">
        <v>0</v>
      </c>
      <c r="FI19" s="103">
        <v>0</v>
      </c>
      <c r="FJ19" s="103">
        <v>0</v>
      </c>
      <c r="FK19" s="103">
        <v>0</v>
      </c>
      <c r="FL19" s="103">
        <v>0</v>
      </c>
      <c r="FM19" s="103">
        <v>0</v>
      </c>
      <c r="FN19" s="103">
        <v>0</v>
      </c>
      <c r="FO19" s="103">
        <v>0</v>
      </c>
    </row>
    <row r="20" spans="1:171" s="174" customFormat="1" x14ac:dyDescent="0.25">
      <c r="A20" s="175" t="s">
        <v>29</v>
      </c>
      <c r="B20" s="172" t="str">
        <f t="shared" si="0"/>
        <v>INN3377C-H301-TL</v>
      </c>
      <c r="C20" s="176" t="s">
        <v>129</v>
      </c>
      <c r="D20" s="176"/>
      <c r="E20" s="170" t="s">
        <v>440</v>
      </c>
      <c r="F20" s="177"/>
      <c r="G20" s="177"/>
      <c r="H20" s="177" t="s">
        <v>34</v>
      </c>
      <c r="I20" s="178">
        <v>7</v>
      </c>
      <c r="J20" s="178">
        <v>7</v>
      </c>
      <c r="K20" s="153">
        <v>7</v>
      </c>
      <c r="L20" s="154">
        <v>7</v>
      </c>
      <c r="M20" s="179">
        <v>115</v>
      </c>
      <c r="N20" s="180">
        <v>1350</v>
      </c>
      <c r="O20" s="78">
        <v>9.1</v>
      </c>
      <c r="P20" s="180">
        <v>25</v>
      </c>
      <c r="Q20" s="180">
        <v>0</v>
      </c>
      <c r="R20" s="180">
        <v>0</v>
      </c>
      <c r="S20" s="180">
        <v>0</v>
      </c>
      <c r="T20" s="180">
        <v>0</v>
      </c>
      <c r="U20" s="180">
        <v>0</v>
      </c>
      <c r="V20" s="180">
        <v>0</v>
      </c>
      <c r="W20" s="180">
        <v>0</v>
      </c>
      <c r="X20" s="180">
        <v>0</v>
      </c>
      <c r="Y20" s="180">
        <v>0</v>
      </c>
      <c r="Z20" s="180">
        <v>0</v>
      </c>
      <c r="AA20" s="180">
        <v>0</v>
      </c>
      <c r="AB20" s="180">
        <v>0</v>
      </c>
      <c r="AC20" s="180">
        <v>1</v>
      </c>
      <c r="AD20" s="181" t="s">
        <v>32</v>
      </c>
      <c r="AE20" s="180">
        <v>1</v>
      </c>
      <c r="AF20" s="182">
        <v>0</v>
      </c>
      <c r="AG20" s="183">
        <v>750</v>
      </c>
      <c r="AH20" s="184">
        <v>705</v>
      </c>
      <c r="AI20" s="180">
        <v>13</v>
      </c>
      <c r="AJ20" s="180">
        <v>0</v>
      </c>
      <c r="AK20" s="180">
        <v>22</v>
      </c>
      <c r="AL20" s="180">
        <v>10</v>
      </c>
      <c r="AM20" s="180">
        <v>0</v>
      </c>
      <c r="AN20" s="180">
        <v>0</v>
      </c>
      <c r="AO20" s="162">
        <v>132</v>
      </c>
      <c r="AP20" s="163">
        <v>3.2000000000000001E-2</v>
      </c>
      <c r="AQ20" s="164">
        <v>5</v>
      </c>
      <c r="AR20" s="103">
        <v>0</v>
      </c>
      <c r="AS20" s="103">
        <v>0</v>
      </c>
      <c r="AT20" s="103">
        <v>0</v>
      </c>
      <c r="AU20" s="103">
        <v>0</v>
      </c>
      <c r="AV20" s="103">
        <v>0</v>
      </c>
      <c r="AW20" s="103">
        <v>0</v>
      </c>
      <c r="AX20" s="103">
        <v>0</v>
      </c>
      <c r="AY20" s="103">
        <v>0</v>
      </c>
      <c r="AZ20" s="103">
        <v>0</v>
      </c>
      <c r="BA20" s="103">
        <v>0</v>
      </c>
      <c r="BB20" s="103">
        <v>0</v>
      </c>
      <c r="BC20" s="103">
        <v>0</v>
      </c>
      <c r="BD20" s="103">
        <v>0</v>
      </c>
      <c r="BE20" s="103">
        <v>0</v>
      </c>
      <c r="BF20" s="103">
        <v>0</v>
      </c>
      <c r="BG20" s="103">
        <v>0</v>
      </c>
      <c r="BH20" s="103">
        <v>0</v>
      </c>
      <c r="BI20" s="103">
        <v>0</v>
      </c>
      <c r="BJ20" s="103">
        <v>0</v>
      </c>
      <c r="BK20" s="103">
        <v>0</v>
      </c>
      <c r="BL20" s="103">
        <v>0</v>
      </c>
      <c r="BM20" s="103">
        <v>0</v>
      </c>
      <c r="BN20" s="103">
        <v>0</v>
      </c>
      <c r="BO20" s="103">
        <v>1</v>
      </c>
      <c r="BP20" s="103">
        <v>0</v>
      </c>
      <c r="BQ20" s="103">
        <v>0</v>
      </c>
      <c r="BR20" s="103">
        <v>0</v>
      </c>
      <c r="BS20" s="103">
        <v>1</v>
      </c>
      <c r="BT20" s="103">
        <v>0</v>
      </c>
      <c r="BU20" s="103">
        <v>0</v>
      </c>
      <c r="BV20" s="103">
        <v>0</v>
      </c>
      <c r="BW20" s="103">
        <v>0</v>
      </c>
      <c r="BX20" s="103">
        <v>0</v>
      </c>
      <c r="BY20" s="103">
        <v>0</v>
      </c>
      <c r="BZ20" s="103">
        <v>0</v>
      </c>
      <c r="CA20" s="103">
        <v>0</v>
      </c>
      <c r="CB20" s="103">
        <v>0</v>
      </c>
      <c r="CC20" s="103">
        <v>0</v>
      </c>
      <c r="CD20" s="103">
        <v>1</v>
      </c>
      <c r="CE20" s="103">
        <v>0</v>
      </c>
      <c r="CF20" s="103">
        <v>0</v>
      </c>
      <c r="CG20" s="103">
        <v>0</v>
      </c>
      <c r="CH20" s="103">
        <v>0</v>
      </c>
      <c r="CI20" s="103">
        <v>0</v>
      </c>
      <c r="CJ20" s="103">
        <v>0</v>
      </c>
      <c r="CK20" s="103">
        <v>0</v>
      </c>
      <c r="CL20" s="103">
        <v>0</v>
      </c>
      <c r="CM20" s="103">
        <v>0</v>
      </c>
      <c r="CN20" s="103">
        <v>0</v>
      </c>
      <c r="CO20" s="103">
        <v>0</v>
      </c>
      <c r="CP20" s="103">
        <v>0</v>
      </c>
      <c r="CQ20" s="103">
        <v>0</v>
      </c>
      <c r="CR20" s="103">
        <v>0</v>
      </c>
      <c r="CS20" s="103">
        <v>0</v>
      </c>
      <c r="CT20" s="103">
        <v>0</v>
      </c>
      <c r="CU20" s="103">
        <v>1</v>
      </c>
      <c r="CV20" s="103">
        <v>0</v>
      </c>
      <c r="CW20" s="103">
        <v>0</v>
      </c>
      <c r="CX20" s="103">
        <v>0</v>
      </c>
      <c r="CY20" s="103">
        <v>0</v>
      </c>
      <c r="CZ20" s="103">
        <v>0</v>
      </c>
      <c r="DA20" s="103">
        <v>0</v>
      </c>
      <c r="DB20" s="103">
        <v>0</v>
      </c>
      <c r="DC20" s="103">
        <v>1</v>
      </c>
      <c r="DD20" s="103">
        <v>0</v>
      </c>
      <c r="DE20" s="103">
        <v>0</v>
      </c>
      <c r="DF20" s="103">
        <v>0</v>
      </c>
      <c r="DG20" s="103">
        <v>0</v>
      </c>
      <c r="DH20" s="103">
        <v>0</v>
      </c>
      <c r="DI20" s="103">
        <v>0</v>
      </c>
      <c r="DJ20" s="103">
        <v>0</v>
      </c>
      <c r="DK20" s="103">
        <v>0</v>
      </c>
      <c r="DL20" s="103">
        <v>0</v>
      </c>
      <c r="DM20" s="103">
        <v>0</v>
      </c>
      <c r="DN20" s="103">
        <v>0</v>
      </c>
      <c r="DO20" s="103">
        <v>0</v>
      </c>
      <c r="DP20" s="103">
        <v>1</v>
      </c>
      <c r="DQ20" s="103">
        <v>0</v>
      </c>
      <c r="DR20" s="103">
        <v>0</v>
      </c>
      <c r="DS20" s="103">
        <v>0</v>
      </c>
      <c r="DT20" s="103">
        <v>0</v>
      </c>
      <c r="DU20" s="103">
        <v>0</v>
      </c>
      <c r="DV20" s="103">
        <v>0</v>
      </c>
      <c r="DW20" s="103">
        <v>0</v>
      </c>
      <c r="DX20" s="103">
        <v>0</v>
      </c>
      <c r="DY20" s="103">
        <v>0</v>
      </c>
      <c r="DZ20" s="103">
        <v>0</v>
      </c>
      <c r="EA20" s="103">
        <v>0</v>
      </c>
      <c r="EB20" s="103">
        <v>0</v>
      </c>
      <c r="EC20" s="103">
        <v>0</v>
      </c>
      <c r="ED20" s="103">
        <v>0</v>
      </c>
      <c r="EE20" s="103">
        <v>0</v>
      </c>
      <c r="EF20" s="103">
        <v>0</v>
      </c>
      <c r="EG20" s="103">
        <v>0</v>
      </c>
      <c r="EH20" s="103">
        <v>0</v>
      </c>
      <c r="EI20" s="103">
        <v>0</v>
      </c>
      <c r="EJ20" s="103">
        <v>0</v>
      </c>
      <c r="EK20" s="103">
        <v>0</v>
      </c>
      <c r="EL20" s="103">
        <v>0</v>
      </c>
      <c r="EM20" s="103">
        <v>0</v>
      </c>
      <c r="EN20" s="103">
        <v>0</v>
      </c>
      <c r="EO20" s="103">
        <v>0</v>
      </c>
      <c r="EP20" s="103">
        <v>0</v>
      </c>
      <c r="EQ20" s="103">
        <v>0</v>
      </c>
      <c r="ER20" s="103">
        <v>1</v>
      </c>
      <c r="ES20" s="103">
        <v>0</v>
      </c>
      <c r="ET20" s="103">
        <v>0</v>
      </c>
      <c r="EU20" s="103">
        <v>0</v>
      </c>
      <c r="EV20" s="103">
        <v>0</v>
      </c>
      <c r="EW20" s="103">
        <v>0</v>
      </c>
      <c r="EX20" s="103">
        <v>0</v>
      </c>
      <c r="EY20" s="103">
        <v>0</v>
      </c>
      <c r="EZ20" s="103">
        <v>0</v>
      </c>
      <c r="FA20" s="103">
        <v>0</v>
      </c>
      <c r="FB20" s="103">
        <v>0</v>
      </c>
      <c r="FC20" s="103">
        <v>0</v>
      </c>
      <c r="FD20" s="103">
        <v>0</v>
      </c>
      <c r="FE20" s="103">
        <v>0</v>
      </c>
      <c r="FF20" s="103">
        <v>0</v>
      </c>
      <c r="FG20" s="103">
        <v>0</v>
      </c>
      <c r="FH20" s="103">
        <v>0</v>
      </c>
      <c r="FI20" s="103">
        <v>0</v>
      </c>
      <c r="FJ20" s="103">
        <v>0</v>
      </c>
      <c r="FK20" s="103">
        <v>0</v>
      </c>
      <c r="FL20" s="103">
        <v>0</v>
      </c>
      <c r="FM20" s="103">
        <v>0</v>
      </c>
      <c r="FN20" s="103">
        <v>0</v>
      </c>
      <c r="FO20" s="103">
        <v>0</v>
      </c>
    </row>
    <row r="21" spans="1:171" s="196" customFormat="1" x14ac:dyDescent="0.25">
      <c r="A21" s="188" t="s">
        <v>29</v>
      </c>
      <c r="B21" s="189" t="s">
        <v>463</v>
      </c>
      <c r="C21" s="189"/>
      <c r="D21" s="189" t="s">
        <v>443</v>
      </c>
      <c r="E21" s="171" t="s">
        <v>453</v>
      </c>
      <c r="F21" s="190"/>
      <c r="G21" s="190"/>
      <c r="H21" s="190" t="s">
        <v>34</v>
      </c>
      <c r="I21" s="191">
        <v>6</v>
      </c>
      <c r="J21" s="191">
        <v>8</v>
      </c>
      <c r="K21" s="189">
        <v>8</v>
      </c>
      <c r="L21" s="189">
        <v>8</v>
      </c>
      <c r="M21" s="189">
        <v>115</v>
      </c>
      <c r="N21" s="192">
        <v>1850</v>
      </c>
      <c r="O21" s="171">
        <v>9.1</v>
      </c>
      <c r="P21" s="192">
        <v>25</v>
      </c>
      <c r="Q21" s="192">
        <v>0</v>
      </c>
      <c r="R21" s="192">
        <v>0</v>
      </c>
      <c r="S21" s="192">
        <v>0</v>
      </c>
      <c r="T21" s="192">
        <v>0</v>
      </c>
      <c r="U21" s="192">
        <v>0</v>
      </c>
      <c r="V21" s="192">
        <v>0</v>
      </c>
      <c r="W21" s="192">
        <v>0</v>
      </c>
      <c r="X21" s="192">
        <v>0</v>
      </c>
      <c r="Y21" s="192">
        <v>1</v>
      </c>
      <c r="Z21" s="192">
        <v>1</v>
      </c>
      <c r="AA21" s="192">
        <v>0</v>
      </c>
      <c r="AB21" s="192">
        <v>0</v>
      </c>
      <c r="AC21" s="192">
        <v>1</v>
      </c>
      <c r="AD21" s="193" t="s">
        <v>32</v>
      </c>
      <c r="AE21" s="192">
        <v>1</v>
      </c>
      <c r="AF21" s="194">
        <v>0</v>
      </c>
      <c r="AG21" s="189">
        <v>675</v>
      </c>
      <c r="AH21" s="189">
        <v>630</v>
      </c>
      <c r="AI21" s="192">
        <v>13</v>
      </c>
      <c r="AJ21" s="192">
        <v>0</v>
      </c>
      <c r="AK21" s="192">
        <v>17</v>
      </c>
      <c r="AL21" s="192">
        <v>11</v>
      </c>
      <c r="AM21" s="192">
        <v>0</v>
      </c>
      <c r="AN21" s="192">
        <v>1</v>
      </c>
      <c r="AO21" s="192">
        <v>132</v>
      </c>
      <c r="AP21" s="195">
        <v>3.2000000000000001E-2</v>
      </c>
      <c r="AQ21" s="189">
        <v>5</v>
      </c>
      <c r="AR21" s="187">
        <v>0</v>
      </c>
      <c r="AS21" s="187">
        <v>0</v>
      </c>
      <c r="AT21" s="187">
        <v>0</v>
      </c>
      <c r="AU21" s="187">
        <v>0</v>
      </c>
      <c r="AV21" s="187">
        <v>0</v>
      </c>
      <c r="AW21" s="187">
        <v>0</v>
      </c>
      <c r="AX21" s="187">
        <v>0</v>
      </c>
      <c r="AY21" s="187">
        <v>0</v>
      </c>
      <c r="AZ21" s="187">
        <v>0</v>
      </c>
      <c r="BA21" s="187">
        <v>0</v>
      </c>
      <c r="BB21" s="187">
        <v>0</v>
      </c>
      <c r="BC21" s="187">
        <v>0</v>
      </c>
      <c r="BD21" s="187">
        <v>0</v>
      </c>
      <c r="BE21" s="187">
        <v>0</v>
      </c>
      <c r="BF21" s="187">
        <v>0</v>
      </c>
      <c r="BG21" s="187">
        <v>0</v>
      </c>
      <c r="BH21" s="187">
        <v>0</v>
      </c>
      <c r="BI21" s="187">
        <v>0</v>
      </c>
      <c r="BJ21" s="187">
        <v>0</v>
      </c>
      <c r="BK21" s="187">
        <v>0</v>
      </c>
      <c r="BL21" s="187">
        <v>0</v>
      </c>
      <c r="BM21" s="187">
        <v>0</v>
      </c>
      <c r="BN21" s="187">
        <v>0</v>
      </c>
      <c r="BO21" s="187">
        <v>1</v>
      </c>
      <c r="BP21" s="187">
        <v>0</v>
      </c>
      <c r="BQ21" s="187">
        <v>0</v>
      </c>
      <c r="BR21" s="187">
        <v>0</v>
      </c>
      <c r="BS21" s="187">
        <v>1</v>
      </c>
      <c r="BT21" s="187">
        <v>0</v>
      </c>
      <c r="BU21" s="187">
        <v>0</v>
      </c>
      <c r="BV21" s="187">
        <v>0</v>
      </c>
      <c r="BW21" s="187">
        <v>0</v>
      </c>
      <c r="BX21" s="187">
        <v>0</v>
      </c>
      <c r="BY21" s="187">
        <v>0</v>
      </c>
      <c r="BZ21" s="187">
        <v>0</v>
      </c>
      <c r="CA21" s="187">
        <v>0</v>
      </c>
      <c r="CB21" s="187">
        <v>0</v>
      </c>
      <c r="CC21" s="187">
        <v>0</v>
      </c>
      <c r="CD21" s="187">
        <v>1</v>
      </c>
      <c r="CE21" s="187">
        <v>0</v>
      </c>
      <c r="CF21" s="187">
        <v>0</v>
      </c>
      <c r="CG21" s="187">
        <v>0</v>
      </c>
      <c r="CH21" s="187">
        <v>0</v>
      </c>
      <c r="CI21" s="187">
        <v>0</v>
      </c>
      <c r="CJ21" s="187">
        <v>0</v>
      </c>
      <c r="CK21" s="187">
        <v>0</v>
      </c>
      <c r="CL21" s="187">
        <v>0</v>
      </c>
      <c r="CM21" s="187">
        <v>0</v>
      </c>
      <c r="CN21" s="187">
        <v>0</v>
      </c>
      <c r="CO21" s="187">
        <v>0</v>
      </c>
      <c r="CP21" s="187">
        <v>0</v>
      </c>
      <c r="CQ21" s="187">
        <v>0</v>
      </c>
      <c r="CR21" s="187">
        <v>0</v>
      </c>
      <c r="CS21" s="187">
        <v>0</v>
      </c>
      <c r="CT21" s="187">
        <v>0</v>
      </c>
      <c r="CU21" s="187">
        <v>1</v>
      </c>
      <c r="CV21" s="187">
        <v>0</v>
      </c>
      <c r="CW21" s="187">
        <v>0</v>
      </c>
      <c r="CX21" s="187">
        <v>0</v>
      </c>
      <c r="CY21" s="187">
        <v>0</v>
      </c>
      <c r="CZ21" s="187">
        <v>0</v>
      </c>
      <c r="DA21" s="187">
        <v>0</v>
      </c>
      <c r="DB21" s="187">
        <v>0</v>
      </c>
      <c r="DC21" s="187">
        <v>1</v>
      </c>
      <c r="DD21" s="187">
        <v>0</v>
      </c>
      <c r="DE21" s="187">
        <v>0</v>
      </c>
      <c r="DF21" s="187">
        <v>0</v>
      </c>
      <c r="DG21" s="187">
        <v>0</v>
      </c>
      <c r="DH21" s="187">
        <v>0</v>
      </c>
      <c r="DI21" s="187">
        <v>0</v>
      </c>
      <c r="DJ21" s="187">
        <v>0</v>
      </c>
      <c r="DK21" s="187">
        <v>0</v>
      </c>
      <c r="DL21" s="187">
        <v>0</v>
      </c>
      <c r="DM21" s="187">
        <v>0</v>
      </c>
      <c r="DN21" s="187">
        <v>0</v>
      </c>
      <c r="DO21" s="187">
        <v>0</v>
      </c>
      <c r="DP21" s="187">
        <v>1</v>
      </c>
      <c r="DQ21" s="187">
        <v>0</v>
      </c>
      <c r="DR21" s="187">
        <v>0</v>
      </c>
      <c r="DS21" s="187">
        <v>0</v>
      </c>
      <c r="DT21" s="187">
        <v>0</v>
      </c>
      <c r="DU21" s="187">
        <v>0</v>
      </c>
      <c r="DV21" s="187">
        <v>0</v>
      </c>
      <c r="DW21" s="187">
        <v>0</v>
      </c>
      <c r="DX21" s="187">
        <v>0</v>
      </c>
      <c r="DY21" s="187">
        <v>0</v>
      </c>
      <c r="DZ21" s="187">
        <v>0</v>
      </c>
      <c r="EA21" s="187">
        <v>0</v>
      </c>
      <c r="EB21" s="187">
        <v>0</v>
      </c>
      <c r="EC21" s="187">
        <v>0</v>
      </c>
      <c r="ED21" s="187">
        <v>0</v>
      </c>
      <c r="EE21" s="187">
        <v>0</v>
      </c>
      <c r="EF21" s="187">
        <v>0</v>
      </c>
      <c r="EG21" s="187">
        <v>0</v>
      </c>
      <c r="EH21" s="187">
        <v>0</v>
      </c>
      <c r="EI21" s="187">
        <v>0</v>
      </c>
      <c r="EJ21" s="187">
        <v>0</v>
      </c>
      <c r="EK21" s="187">
        <v>0</v>
      </c>
      <c r="EL21" s="187">
        <v>0</v>
      </c>
      <c r="EM21" s="187">
        <v>0</v>
      </c>
      <c r="EN21" s="187">
        <v>0</v>
      </c>
      <c r="EO21" s="187">
        <v>0</v>
      </c>
      <c r="EP21" s="187">
        <v>0</v>
      </c>
      <c r="EQ21" s="187">
        <v>0</v>
      </c>
      <c r="ER21" s="187">
        <v>1</v>
      </c>
      <c r="ES21" s="187">
        <v>0</v>
      </c>
      <c r="ET21" s="187">
        <v>0</v>
      </c>
      <c r="EU21" s="187">
        <v>0</v>
      </c>
      <c r="EV21" s="187">
        <v>0</v>
      </c>
      <c r="EW21" s="187">
        <v>0</v>
      </c>
      <c r="EX21" s="187">
        <v>0</v>
      </c>
      <c r="EY21" s="187">
        <v>0</v>
      </c>
      <c r="EZ21" s="187">
        <v>0</v>
      </c>
      <c r="FA21" s="187">
        <v>0</v>
      </c>
      <c r="FB21" s="187">
        <v>0</v>
      </c>
      <c r="FC21" s="187">
        <v>0</v>
      </c>
      <c r="FD21" s="187">
        <v>0</v>
      </c>
      <c r="FE21" s="187">
        <v>0</v>
      </c>
      <c r="FF21" s="187">
        <v>0</v>
      </c>
      <c r="FG21" s="187">
        <v>0</v>
      </c>
      <c r="FH21" s="187">
        <v>0</v>
      </c>
      <c r="FI21" s="187">
        <v>0</v>
      </c>
      <c r="FJ21" s="187">
        <v>0</v>
      </c>
      <c r="FK21" s="187">
        <v>0</v>
      </c>
      <c r="FL21" s="187">
        <v>0</v>
      </c>
      <c r="FM21" s="187">
        <v>0</v>
      </c>
      <c r="FN21" s="187">
        <v>0</v>
      </c>
      <c r="FO21" s="187">
        <v>0</v>
      </c>
    </row>
    <row r="22" spans="1:171" s="196" customFormat="1" x14ac:dyDescent="0.25">
      <c r="A22" s="188" t="s">
        <v>29</v>
      </c>
      <c r="B22" s="189" t="s">
        <v>464</v>
      </c>
      <c r="C22" s="189"/>
      <c r="D22" s="189" t="s">
        <v>448</v>
      </c>
      <c r="E22" s="171" t="s">
        <v>455</v>
      </c>
      <c r="F22" s="190"/>
      <c r="G22" s="190"/>
      <c r="H22" s="190" t="s">
        <v>34</v>
      </c>
      <c r="I22" s="191">
        <v>7</v>
      </c>
      <c r="J22" s="191">
        <v>7</v>
      </c>
      <c r="K22" s="189">
        <v>7</v>
      </c>
      <c r="L22" s="189">
        <v>7</v>
      </c>
      <c r="M22" s="189">
        <v>115</v>
      </c>
      <c r="N22" s="192">
        <v>1550</v>
      </c>
      <c r="O22" s="171">
        <v>9.1</v>
      </c>
      <c r="P22" s="192">
        <v>25</v>
      </c>
      <c r="Q22" s="192">
        <v>0</v>
      </c>
      <c r="R22" s="192">
        <v>0</v>
      </c>
      <c r="S22" s="192">
        <v>0</v>
      </c>
      <c r="T22" s="192">
        <v>0</v>
      </c>
      <c r="U22" s="192">
        <v>0</v>
      </c>
      <c r="V22" s="192">
        <v>0</v>
      </c>
      <c r="W22" s="192">
        <v>0</v>
      </c>
      <c r="X22" s="192">
        <v>0</v>
      </c>
      <c r="Y22" s="192">
        <v>1</v>
      </c>
      <c r="Z22" s="192">
        <v>1</v>
      </c>
      <c r="AA22" s="192">
        <v>0</v>
      </c>
      <c r="AB22" s="192">
        <v>0</v>
      </c>
      <c r="AC22" s="192">
        <v>1</v>
      </c>
      <c r="AD22" s="193" t="s">
        <v>32</v>
      </c>
      <c r="AE22" s="192">
        <v>1</v>
      </c>
      <c r="AF22" s="194">
        <v>0</v>
      </c>
      <c r="AG22" s="189">
        <v>750</v>
      </c>
      <c r="AH22" s="189">
        <v>705</v>
      </c>
      <c r="AI22" s="192">
        <v>13</v>
      </c>
      <c r="AJ22" s="192">
        <v>0</v>
      </c>
      <c r="AK22" s="192">
        <v>22</v>
      </c>
      <c r="AL22" s="192">
        <v>10</v>
      </c>
      <c r="AM22" s="192">
        <v>0</v>
      </c>
      <c r="AN22" s="192">
        <v>1</v>
      </c>
      <c r="AO22" s="192">
        <v>132</v>
      </c>
      <c r="AP22" s="195">
        <v>3.2000000000000001E-2</v>
      </c>
      <c r="AQ22" s="189">
        <v>5</v>
      </c>
      <c r="AR22" s="187">
        <v>0</v>
      </c>
      <c r="AS22" s="187">
        <v>0</v>
      </c>
      <c r="AT22" s="187">
        <v>0</v>
      </c>
      <c r="AU22" s="187">
        <v>0</v>
      </c>
      <c r="AV22" s="187">
        <v>0</v>
      </c>
      <c r="AW22" s="187">
        <v>0</v>
      </c>
      <c r="AX22" s="187">
        <v>0</v>
      </c>
      <c r="AY22" s="187">
        <v>0</v>
      </c>
      <c r="AZ22" s="187">
        <v>0</v>
      </c>
      <c r="BA22" s="187">
        <v>0</v>
      </c>
      <c r="BB22" s="187">
        <v>0</v>
      </c>
      <c r="BC22" s="187">
        <v>0</v>
      </c>
      <c r="BD22" s="187">
        <v>0</v>
      </c>
      <c r="BE22" s="187">
        <v>0</v>
      </c>
      <c r="BF22" s="187">
        <v>0</v>
      </c>
      <c r="BG22" s="187">
        <v>0</v>
      </c>
      <c r="BH22" s="187">
        <v>0</v>
      </c>
      <c r="BI22" s="187">
        <v>0</v>
      </c>
      <c r="BJ22" s="187">
        <v>0</v>
      </c>
      <c r="BK22" s="187">
        <v>0</v>
      </c>
      <c r="BL22" s="187">
        <v>0</v>
      </c>
      <c r="BM22" s="187">
        <v>0</v>
      </c>
      <c r="BN22" s="187">
        <v>0</v>
      </c>
      <c r="BO22" s="187">
        <v>1</v>
      </c>
      <c r="BP22" s="187">
        <v>0</v>
      </c>
      <c r="BQ22" s="187">
        <v>0</v>
      </c>
      <c r="BR22" s="187">
        <v>0</v>
      </c>
      <c r="BS22" s="187">
        <v>1</v>
      </c>
      <c r="BT22" s="187">
        <v>0</v>
      </c>
      <c r="BU22" s="187">
        <v>0</v>
      </c>
      <c r="BV22" s="187">
        <v>0</v>
      </c>
      <c r="BW22" s="187">
        <v>0</v>
      </c>
      <c r="BX22" s="187">
        <v>0</v>
      </c>
      <c r="BY22" s="187">
        <v>0</v>
      </c>
      <c r="BZ22" s="187">
        <v>0</v>
      </c>
      <c r="CA22" s="187">
        <v>0</v>
      </c>
      <c r="CB22" s="187">
        <v>0</v>
      </c>
      <c r="CC22" s="187">
        <v>0</v>
      </c>
      <c r="CD22" s="187">
        <v>1</v>
      </c>
      <c r="CE22" s="187">
        <v>0</v>
      </c>
      <c r="CF22" s="187">
        <v>0</v>
      </c>
      <c r="CG22" s="187">
        <v>0</v>
      </c>
      <c r="CH22" s="187">
        <v>0</v>
      </c>
      <c r="CI22" s="187">
        <v>0</v>
      </c>
      <c r="CJ22" s="187">
        <v>0</v>
      </c>
      <c r="CK22" s="187">
        <v>0</v>
      </c>
      <c r="CL22" s="187">
        <v>0</v>
      </c>
      <c r="CM22" s="187">
        <v>0</v>
      </c>
      <c r="CN22" s="187">
        <v>0</v>
      </c>
      <c r="CO22" s="187">
        <v>0</v>
      </c>
      <c r="CP22" s="187">
        <v>0</v>
      </c>
      <c r="CQ22" s="187">
        <v>0</v>
      </c>
      <c r="CR22" s="187">
        <v>0</v>
      </c>
      <c r="CS22" s="187">
        <v>0</v>
      </c>
      <c r="CT22" s="187">
        <v>0</v>
      </c>
      <c r="CU22" s="187">
        <v>1</v>
      </c>
      <c r="CV22" s="187">
        <v>0</v>
      </c>
      <c r="CW22" s="187">
        <v>0</v>
      </c>
      <c r="CX22" s="187">
        <v>0</v>
      </c>
      <c r="CY22" s="187">
        <v>0</v>
      </c>
      <c r="CZ22" s="187">
        <v>0</v>
      </c>
      <c r="DA22" s="187">
        <v>0</v>
      </c>
      <c r="DB22" s="187">
        <v>0</v>
      </c>
      <c r="DC22" s="187">
        <v>1</v>
      </c>
      <c r="DD22" s="187">
        <v>0</v>
      </c>
      <c r="DE22" s="187">
        <v>0</v>
      </c>
      <c r="DF22" s="187">
        <v>0</v>
      </c>
      <c r="DG22" s="187">
        <v>0</v>
      </c>
      <c r="DH22" s="187">
        <v>0</v>
      </c>
      <c r="DI22" s="187">
        <v>0</v>
      </c>
      <c r="DJ22" s="187">
        <v>0</v>
      </c>
      <c r="DK22" s="187">
        <v>0</v>
      </c>
      <c r="DL22" s="187">
        <v>0</v>
      </c>
      <c r="DM22" s="187">
        <v>0</v>
      </c>
      <c r="DN22" s="187">
        <v>0</v>
      </c>
      <c r="DO22" s="187">
        <v>0</v>
      </c>
      <c r="DP22" s="187">
        <v>1</v>
      </c>
      <c r="DQ22" s="187">
        <v>0</v>
      </c>
      <c r="DR22" s="187">
        <v>0</v>
      </c>
      <c r="DS22" s="187">
        <v>0</v>
      </c>
      <c r="DT22" s="187">
        <v>0</v>
      </c>
      <c r="DU22" s="187">
        <v>0</v>
      </c>
      <c r="DV22" s="187">
        <v>0</v>
      </c>
      <c r="DW22" s="187">
        <v>0</v>
      </c>
      <c r="DX22" s="187">
        <v>0</v>
      </c>
      <c r="DY22" s="187">
        <v>0</v>
      </c>
      <c r="DZ22" s="187">
        <v>0</v>
      </c>
      <c r="EA22" s="187">
        <v>0</v>
      </c>
      <c r="EB22" s="187">
        <v>0</v>
      </c>
      <c r="EC22" s="187">
        <v>0</v>
      </c>
      <c r="ED22" s="187">
        <v>0</v>
      </c>
      <c r="EE22" s="187">
        <v>0</v>
      </c>
      <c r="EF22" s="187">
        <v>0</v>
      </c>
      <c r="EG22" s="187">
        <v>0</v>
      </c>
      <c r="EH22" s="187">
        <v>0</v>
      </c>
      <c r="EI22" s="187">
        <v>0</v>
      </c>
      <c r="EJ22" s="187">
        <v>0</v>
      </c>
      <c r="EK22" s="187">
        <v>0</v>
      </c>
      <c r="EL22" s="187">
        <v>0</v>
      </c>
      <c r="EM22" s="187">
        <v>0</v>
      </c>
      <c r="EN22" s="187">
        <v>0</v>
      </c>
      <c r="EO22" s="187">
        <v>0</v>
      </c>
      <c r="EP22" s="187">
        <v>0</v>
      </c>
      <c r="EQ22" s="187">
        <v>0</v>
      </c>
      <c r="ER22" s="187">
        <v>1</v>
      </c>
      <c r="ES22" s="187">
        <v>0</v>
      </c>
      <c r="ET22" s="187">
        <v>0</v>
      </c>
      <c r="EU22" s="187">
        <v>0</v>
      </c>
      <c r="EV22" s="187">
        <v>1</v>
      </c>
      <c r="EW22" s="187">
        <v>0</v>
      </c>
      <c r="EX22" s="187">
        <v>0</v>
      </c>
      <c r="EY22" s="187">
        <v>1</v>
      </c>
      <c r="EZ22" s="187">
        <v>0</v>
      </c>
      <c r="FA22" s="187">
        <v>0</v>
      </c>
      <c r="FB22" s="187">
        <v>0</v>
      </c>
      <c r="FC22" s="187">
        <v>0</v>
      </c>
      <c r="FD22" s="187">
        <v>0</v>
      </c>
      <c r="FE22" s="187">
        <v>0</v>
      </c>
      <c r="FF22" s="187">
        <v>0</v>
      </c>
      <c r="FG22" s="187">
        <v>0</v>
      </c>
      <c r="FH22" s="187">
        <v>0</v>
      </c>
      <c r="FI22" s="187">
        <v>0</v>
      </c>
      <c r="FJ22" s="187">
        <v>0</v>
      </c>
      <c r="FK22" s="187">
        <v>0</v>
      </c>
      <c r="FL22" s="187">
        <v>0</v>
      </c>
      <c r="FM22" s="187">
        <v>0</v>
      </c>
      <c r="FN22" s="187">
        <v>0</v>
      </c>
      <c r="FO22" s="187">
        <v>0</v>
      </c>
    </row>
    <row r="23" spans="1:171" x14ac:dyDescent="0.25">
      <c r="A23" s="76" t="s">
        <v>30</v>
      </c>
      <c r="B23" s="119"/>
      <c r="C23" s="119"/>
      <c r="D23" s="119"/>
      <c r="E23" s="119"/>
      <c r="F23" s="119"/>
      <c r="G23" s="119"/>
      <c r="H23" s="120"/>
      <c r="I23" s="23"/>
      <c r="J23" s="23"/>
      <c r="K23" s="23"/>
      <c r="L23" s="23"/>
      <c r="M23" s="23"/>
      <c r="N23" s="23"/>
      <c r="O23" s="23"/>
      <c r="P23" s="23"/>
      <c r="Q23" s="197"/>
      <c r="Y23" s="119"/>
      <c r="Z23" s="119"/>
      <c r="AA23" s="119"/>
      <c r="AB23" s="119"/>
      <c r="AC23" s="119"/>
      <c r="AD23" s="119"/>
      <c r="AE23" s="119"/>
      <c r="AF23" s="119"/>
      <c r="AG23" s="197"/>
      <c r="AH23" s="197"/>
      <c r="AI23" s="197"/>
      <c r="AJ23" s="197"/>
      <c r="AK23" s="197"/>
      <c r="AL23" s="197"/>
      <c r="AM23" s="197"/>
      <c r="AP23" s="121"/>
      <c r="AQ23" s="119"/>
      <c r="AR23" s="119"/>
      <c r="AS23" s="119"/>
      <c r="AT23" s="119"/>
      <c r="AU23" s="119"/>
      <c r="AV23" s="119"/>
    </row>
    <row r="24" spans="1:171" x14ac:dyDescent="0.25">
      <c r="I24" s="23"/>
      <c r="J24" s="23"/>
      <c r="K24" s="23"/>
      <c r="L24" s="23"/>
      <c r="M24" s="23"/>
      <c r="N24" s="23"/>
      <c r="O24" s="23"/>
      <c r="P24" s="23"/>
      <c r="Q24" s="197"/>
      <c r="AD24" s="1"/>
      <c r="AF24" s="197"/>
      <c r="AG24" s="197"/>
      <c r="AH24" s="197"/>
      <c r="AI24" s="197"/>
      <c r="AJ24" s="197"/>
      <c r="AK24" s="197"/>
      <c r="AL24" s="197"/>
      <c r="AM24" s="197"/>
    </row>
    <row r="25" spans="1:171" x14ac:dyDescent="0.25">
      <c r="I25" s="23"/>
      <c r="J25" s="23"/>
      <c r="K25" s="23"/>
      <c r="L25" s="23"/>
      <c r="M25" s="23"/>
      <c r="N25" s="23"/>
      <c r="O25" s="23"/>
      <c r="P25" s="23"/>
      <c r="Q25" s="197"/>
      <c r="AF25" s="197"/>
      <c r="AG25" s="197"/>
      <c r="AH25" s="197"/>
      <c r="AI25" s="197"/>
      <c r="AJ25" s="197"/>
      <c r="AK25" s="197"/>
      <c r="AL25" s="197"/>
      <c r="AM25" s="197"/>
    </row>
    <row r="26" spans="1:171" x14ac:dyDescent="0.25">
      <c r="I26" s="23"/>
      <c r="J26" s="23"/>
      <c r="K26" s="23"/>
      <c r="L26" s="23"/>
      <c r="M26" s="23"/>
      <c r="N26" s="23"/>
      <c r="O26" s="23"/>
      <c r="P26" s="23"/>
      <c r="Q26" s="197"/>
      <c r="AD26" s="1"/>
      <c r="AF26" s="197"/>
      <c r="AG26" s="197"/>
      <c r="AH26" s="197"/>
      <c r="AI26" s="197"/>
      <c r="AJ26" s="197"/>
      <c r="AK26" s="197"/>
      <c r="AL26" s="197"/>
      <c r="AM26" s="197"/>
    </row>
    <row r="27" spans="1:171" x14ac:dyDescent="0.25">
      <c r="I27" s="23"/>
      <c r="J27" s="23"/>
      <c r="K27" s="23"/>
      <c r="L27" s="23"/>
      <c r="M27" s="23"/>
      <c r="N27" s="23"/>
      <c r="O27" s="23"/>
      <c r="P27" s="23"/>
      <c r="Q27" s="197"/>
      <c r="AD27" s="1"/>
      <c r="AF27" s="197"/>
      <c r="AG27" s="197"/>
      <c r="AH27" s="197"/>
      <c r="AI27" s="197"/>
      <c r="AJ27" s="197"/>
      <c r="AK27" s="197"/>
      <c r="AL27" s="197"/>
      <c r="AM27" s="197"/>
    </row>
    <row r="28" spans="1:171" x14ac:dyDescent="0.25">
      <c r="I28" s="23"/>
      <c r="J28" s="23"/>
      <c r="K28" s="23"/>
      <c r="L28" s="23"/>
      <c r="M28" s="23"/>
      <c r="N28" s="23"/>
      <c r="O28" s="23"/>
      <c r="P28" s="23"/>
      <c r="Q28" s="197"/>
      <c r="AD28" s="1"/>
      <c r="AF28" s="197"/>
      <c r="AG28" s="197"/>
      <c r="AH28" s="197"/>
      <c r="AI28" s="197"/>
      <c r="AJ28" s="197"/>
      <c r="AK28" s="197"/>
      <c r="AL28" s="197"/>
      <c r="AM28" s="197"/>
    </row>
    <row r="29" spans="1:171" x14ac:dyDescent="0.25">
      <c r="I29" s="23"/>
      <c r="J29" s="23"/>
      <c r="K29" s="23"/>
      <c r="L29" s="23"/>
      <c r="M29" s="23"/>
      <c r="N29" s="23"/>
      <c r="O29" s="23"/>
      <c r="P29" s="23"/>
      <c r="Q29" s="197"/>
      <c r="AD29" s="1"/>
      <c r="AF29" s="197"/>
      <c r="AG29" s="197"/>
      <c r="AH29" s="197"/>
      <c r="AI29" s="197"/>
      <c r="AJ29" s="197"/>
      <c r="AK29" s="197"/>
      <c r="AL29" s="197"/>
      <c r="AM29" s="197"/>
    </row>
    <row r="30" spans="1:171" x14ac:dyDescent="0.25">
      <c r="I30" s="23"/>
      <c r="J30" s="23"/>
      <c r="K30" s="23"/>
      <c r="L30" s="23"/>
      <c r="M30" s="23"/>
      <c r="N30" s="23"/>
      <c r="O30" s="23"/>
      <c r="P30" s="23"/>
      <c r="Q30" s="197"/>
      <c r="AD30" s="1"/>
      <c r="AF30" s="197"/>
      <c r="AG30" s="197"/>
      <c r="AH30" s="197"/>
      <c r="AI30" s="197"/>
      <c r="AJ30" s="197"/>
      <c r="AK30" s="197"/>
      <c r="AL30" s="197"/>
      <c r="AM30" s="197"/>
    </row>
    <row r="31" spans="1:171" x14ac:dyDescent="0.25">
      <c r="I31" s="23"/>
      <c r="J31" s="23"/>
      <c r="K31" s="23"/>
      <c r="L31" s="23"/>
      <c r="M31" s="23"/>
      <c r="N31" s="23"/>
      <c r="O31" s="23"/>
      <c r="P31" s="23"/>
      <c r="Q31" s="197"/>
      <c r="AD31" s="1"/>
      <c r="AF31" s="197"/>
      <c r="AG31" s="197"/>
      <c r="AH31" s="197"/>
      <c r="AI31" s="197"/>
      <c r="AJ31" s="197"/>
      <c r="AK31" s="197"/>
      <c r="AL31" s="197"/>
      <c r="AM31" s="197"/>
    </row>
    <row r="32" spans="1:171" x14ac:dyDescent="0.25">
      <c r="I32" s="23"/>
      <c r="J32" s="23"/>
      <c r="K32" s="23"/>
      <c r="L32" s="23"/>
      <c r="M32" s="23"/>
      <c r="N32" s="23"/>
      <c r="O32" s="23"/>
      <c r="P32" s="23"/>
      <c r="Q32" s="197"/>
      <c r="AD32" s="1"/>
      <c r="AF32" s="197"/>
      <c r="AG32" s="197"/>
      <c r="AH32" s="197"/>
      <c r="AI32" s="197"/>
      <c r="AJ32" s="197"/>
      <c r="AK32" s="197"/>
      <c r="AL32" s="197"/>
      <c r="AM32" s="197"/>
    </row>
    <row r="33" spans="9:39" x14ac:dyDescent="0.25">
      <c r="I33" s="23"/>
      <c r="J33" s="23"/>
      <c r="K33" s="23"/>
      <c r="L33" s="23"/>
      <c r="M33" s="23"/>
      <c r="N33" s="23"/>
      <c r="O33" s="23"/>
      <c r="P33" s="23"/>
      <c r="Q33" s="197"/>
      <c r="AD33" s="1"/>
      <c r="AF33" s="197"/>
      <c r="AG33" s="197"/>
      <c r="AH33" s="197"/>
      <c r="AI33" s="197"/>
      <c r="AJ33" s="197"/>
      <c r="AK33" s="197"/>
      <c r="AL33" s="197"/>
      <c r="AM33" s="197"/>
    </row>
    <row r="34" spans="9:39" x14ac:dyDescent="0.25">
      <c r="I34" s="23"/>
      <c r="J34" s="23"/>
      <c r="K34" s="23"/>
      <c r="L34" s="23"/>
      <c r="M34" s="23"/>
      <c r="N34" s="23"/>
      <c r="O34" s="23"/>
      <c r="P34" s="23"/>
      <c r="Q34" s="197"/>
      <c r="AD34" s="1"/>
      <c r="AF34" s="197"/>
      <c r="AG34" s="197"/>
      <c r="AH34" s="197"/>
      <c r="AI34" s="197"/>
      <c r="AJ34" s="197"/>
      <c r="AK34" s="197"/>
      <c r="AL34" s="197"/>
      <c r="AM34" s="197"/>
    </row>
    <row r="35" spans="9:39" x14ac:dyDescent="0.25">
      <c r="I35" s="23"/>
      <c r="J35" s="23"/>
      <c r="K35" s="23"/>
      <c r="L35" s="23"/>
      <c r="M35" s="23"/>
      <c r="N35" s="23"/>
      <c r="O35" s="23"/>
      <c r="P35" s="23"/>
      <c r="Q35" s="197"/>
      <c r="AD35" s="1"/>
      <c r="AF35" s="197"/>
      <c r="AG35" s="197"/>
      <c r="AH35" s="197"/>
      <c r="AI35" s="197"/>
      <c r="AJ35" s="197"/>
      <c r="AK35" s="197"/>
      <c r="AL35" s="197"/>
      <c r="AM35" s="197"/>
    </row>
  </sheetData>
  <autoFilter ref="A13:AV35"/>
  <mergeCells count="1">
    <mergeCell ref="C12:E12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5"/>
  <sheetViews>
    <sheetView workbookViewId="0">
      <selection activeCell="C1" sqref="C1"/>
    </sheetView>
  </sheetViews>
  <sheetFormatPr defaultColWidth="8.85546875" defaultRowHeight="15" x14ac:dyDescent="0.25"/>
  <cols>
    <col min="1" max="1" width="15.42578125" style="25" bestFit="1" customWidth="1"/>
    <col min="2" max="2" width="8.85546875" style="25"/>
    <col min="3" max="3" width="11" style="25" customWidth="1"/>
    <col min="4" max="7" width="8.85546875" style="25"/>
    <col min="8" max="8" width="13.140625" style="25" bestFit="1" customWidth="1"/>
    <col min="9" max="10" width="8.85546875" style="25"/>
    <col min="11" max="11" width="13.5703125" style="25" bestFit="1" customWidth="1"/>
    <col min="12" max="12" width="8.85546875" style="25"/>
    <col min="13" max="16" width="13.5703125" style="25" bestFit="1" customWidth="1"/>
    <col min="17" max="17" width="7.85546875" style="25" bestFit="1" customWidth="1"/>
    <col min="18" max="16384" width="8.85546875" style="25"/>
  </cols>
  <sheetData>
    <row r="1" spans="1:19" ht="14.45" x14ac:dyDescent="0.3">
      <c r="A1" s="23" t="s">
        <v>77</v>
      </c>
      <c r="B1" s="23" t="s">
        <v>76</v>
      </c>
      <c r="C1" s="23" t="s">
        <v>75</v>
      </c>
      <c r="D1" s="23" t="s">
        <v>16</v>
      </c>
      <c r="E1" s="23" t="s">
        <v>90</v>
      </c>
      <c r="F1" s="17" t="s">
        <v>12</v>
      </c>
      <c r="G1" s="18" t="s">
        <v>13</v>
      </c>
      <c r="H1" s="29" t="s">
        <v>18</v>
      </c>
      <c r="I1" s="29" t="s">
        <v>72</v>
      </c>
      <c r="J1" s="30" t="s">
        <v>45</v>
      </c>
      <c r="K1" s="31" t="s">
        <v>19</v>
      </c>
      <c r="L1" s="32" t="s">
        <v>20</v>
      </c>
      <c r="M1" s="33" t="s">
        <v>47</v>
      </c>
      <c r="N1" s="34" t="s">
        <v>48</v>
      </c>
      <c r="O1" s="33" t="s">
        <v>49</v>
      </c>
      <c r="P1" s="33" t="s">
        <v>50</v>
      </c>
      <c r="Q1" s="34" t="s">
        <v>51</v>
      </c>
      <c r="R1" s="35" t="s">
        <v>68</v>
      </c>
      <c r="S1" s="35" t="s">
        <v>69</v>
      </c>
    </row>
    <row r="2" spans="1:19" thickBot="1" x14ac:dyDescent="0.35">
      <c r="A2" s="23"/>
      <c r="B2" s="23"/>
      <c r="C2" s="23"/>
      <c r="D2" s="23"/>
      <c r="E2" s="23"/>
      <c r="F2" s="3" t="s">
        <v>22</v>
      </c>
      <c r="G2" s="4" t="s">
        <v>22</v>
      </c>
      <c r="H2" s="36" t="s">
        <v>28</v>
      </c>
      <c r="I2" s="36" t="s">
        <v>27</v>
      </c>
      <c r="J2" s="37" t="s">
        <v>46</v>
      </c>
      <c r="K2" s="38" t="s">
        <v>26</v>
      </c>
      <c r="L2" s="39" t="s">
        <v>26</v>
      </c>
      <c r="M2" s="40" t="s">
        <v>57</v>
      </c>
      <c r="N2" s="36" t="s">
        <v>22</v>
      </c>
      <c r="O2" s="40" t="s">
        <v>58</v>
      </c>
      <c r="P2" s="40" t="s">
        <v>59</v>
      </c>
      <c r="Q2" s="36" t="s">
        <v>25</v>
      </c>
      <c r="R2" s="35" t="s">
        <v>22</v>
      </c>
      <c r="S2" s="35" t="s">
        <v>22</v>
      </c>
    </row>
    <row r="3" spans="1:19" ht="14.45" x14ac:dyDescent="0.3">
      <c r="A3" s="23" t="s">
        <v>78</v>
      </c>
      <c r="B3" s="23">
        <v>6</v>
      </c>
      <c r="C3" s="23">
        <v>2</v>
      </c>
      <c r="D3" s="23">
        <v>0.45</v>
      </c>
      <c r="E3" s="23">
        <v>0.55000000000000004</v>
      </c>
      <c r="F3" s="23">
        <v>2</v>
      </c>
      <c r="G3" s="23">
        <v>2</v>
      </c>
      <c r="H3" s="23">
        <v>115</v>
      </c>
      <c r="I3" s="23">
        <v>9.1</v>
      </c>
      <c r="J3" s="25">
        <v>0</v>
      </c>
      <c r="K3" s="25">
        <f>IF(B3=6,675,750)</f>
        <v>675</v>
      </c>
      <c r="L3" s="25">
        <f>IF(B3=6,630,705)</f>
        <v>630</v>
      </c>
      <c r="M3" s="125">
        <v>1</v>
      </c>
      <c r="N3" s="125">
        <v>0</v>
      </c>
      <c r="O3" s="125">
        <v>19</v>
      </c>
      <c r="P3" s="125">
        <v>6</v>
      </c>
      <c r="Q3" s="125">
        <v>0</v>
      </c>
      <c r="R3" s="127">
        <v>3</v>
      </c>
      <c r="S3" s="127">
        <v>1</v>
      </c>
    </row>
    <row r="4" spans="1:19" ht="14.45" x14ac:dyDescent="0.3">
      <c r="A4" s="23" t="s">
        <v>79</v>
      </c>
      <c r="B4" s="23">
        <v>7</v>
      </c>
      <c r="C4" s="23">
        <v>2</v>
      </c>
      <c r="D4" s="23">
        <v>0.45</v>
      </c>
      <c r="E4" s="23">
        <v>0.55000000000000004</v>
      </c>
      <c r="F4" s="23">
        <v>2</v>
      </c>
      <c r="G4" s="23">
        <v>2</v>
      </c>
      <c r="H4" s="23">
        <v>115</v>
      </c>
      <c r="I4" s="23">
        <v>9.1</v>
      </c>
      <c r="J4" s="25">
        <v>0</v>
      </c>
      <c r="K4" s="25">
        <f t="shared" ref="K4:K15" si="0">IF(B4=6,675,750)</f>
        <v>750</v>
      </c>
      <c r="L4" s="25">
        <f t="shared" ref="L4:L15" si="1">IF(B4=6,630,705)</f>
        <v>705</v>
      </c>
      <c r="M4" s="125">
        <v>1</v>
      </c>
      <c r="N4" s="125">
        <v>0</v>
      </c>
      <c r="O4" s="125">
        <v>24</v>
      </c>
      <c r="P4" s="125">
        <v>6</v>
      </c>
      <c r="Q4" s="145">
        <v>0</v>
      </c>
      <c r="R4" s="165">
        <v>3</v>
      </c>
      <c r="S4" s="165">
        <v>1</v>
      </c>
    </row>
    <row r="5" spans="1:19" ht="14.45" x14ac:dyDescent="0.3">
      <c r="A5" s="23" t="s">
        <v>80</v>
      </c>
      <c r="B5" s="23">
        <v>6</v>
      </c>
      <c r="C5" s="23">
        <v>3</v>
      </c>
      <c r="D5" s="23">
        <v>0.55000000000000004</v>
      </c>
      <c r="E5" s="23">
        <v>0.65</v>
      </c>
      <c r="F5" s="23">
        <v>3</v>
      </c>
      <c r="G5" s="23">
        <v>3</v>
      </c>
      <c r="H5" s="23">
        <v>115</v>
      </c>
      <c r="I5" s="23">
        <v>9.1</v>
      </c>
      <c r="J5" s="25">
        <v>0</v>
      </c>
      <c r="K5" s="25">
        <f t="shared" si="0"/>
        <v>675</v>
      </c>
      <c r="L5" s="25">
        <f t="shared" si="1"/>
        <v>630</v>
      </c>
      <c r="M5" s="125">
        <v>1</v>
      </c>
      <c r="N5" s="125">
        <v>0</v>
      </c>
      <c r="O5" s="125">
        <v>30</v>
      </c>
      <c r="P5" s="125">
        <v>4</v>
      </c>
      <c r="Q5" s="145">
        <v>0</v>
      </c>
      <c r="R5" s="165">
        <v>3</v>
      </c>
      <c r="S5" s="165">
        <v>1</v>
      </c>
    </row>
    <row r="6" spans="1:19" ht="14.45" x14ac:dyDescent="0.3">
      <c r="A6" s="23" t="s">
        <v>81</v>
      </c>
      <c r="B6" s="23">
        <v>7</v>
      </c>
      <c r="C6" s="23">
        <v>3</v>
      </c>
      <c r="D6" s="23">
        <v>0.55000000000000004</v>
      </c>
      <c r="E6" s="23">
        <v>0.65</v>
      </c>
      <c r="F6" s="23">
        <v>3</v>
      </c>
      <c r="G6" s="23">
        <v>3</v>
      </c>
      <c r="H6" s="23">
        <v>115</v>
      </c>
      <c r="I6" s="23">
        <v>9.1</v>
      </c>
      <c r="J6" s="25">
        <v>0</v>
      </c>
      <c r="K6" s="25">
        <f t="shared" si="0"/>
        <v>750</v>
      </c>
      <c r="L6" s="25">
        <f t="shared" si="1"/>
        <v>705</v>
      </c>
      <c r="M6" s="125">
        <v>0</v>
      </c>
      <c r="N6" s="125">
        <v>1</v>
      </c>
      <c r="O6" s="125">
        <v>24</v>
      </c>
      <c r="P6" s="125">
        <v>4</v>
      </c>
      <c r="Q6" s="145">
        <v>0</v>
      </c>
      <c r="R6" s="165">
        <v>3</v>
      </c>
      <c r="S6" s="165">
        <v>1</v>
      </c>
    </row>
    <row r="7" spans="1:19" ht="14.45" x14ac:dyDescent="0.3">
      <c r="A7" s="23" t="s">
        <v>82</v>
      </c>
      <c r="B7" s="23">
        <v>6</v>
      </c>
      <c r="C7" s="23">
        <v>4</v>
      </c>
      <c r="D7" s="23">
        <v>0.75</v>
      </c>
      <c r="E7" s="23">
        <v>0.95</v>
      </c>
      <c r="F7" s="23">
        <v>4</v>
      </c>
      <c r="G7" s="23">
        <v>4</v>
      </c>
      <c r="H7" s="23">
        <v>115</v>
      </c>
      <c r="I7" s="23">
        <v>9.1</v>
      </c>
      <c r="J7" s="25">
        <v>0</v>
      </c>
      <c r="K7" s="25">
        <f t="shared" si="0"/>
        <v>675</v>
      </c>
      <c r="L7" s="25">
        <f t="shared" si="1"/>
        <v>630</v>
      </c>
      <c r="M7" s="125">
        <v>0</v>
      </c>
      <c r="N7" s="125">
        <v>0</v>
      </c>
      <c r="O7" s="125">
        <v>0</v>
      </c>
      <c r="P7" s="125">
        <v>0</v>
      </c>
      <c r="Q7" s="145">
        <v>0</v>
      </c>
      <c r="R7" s="165">
        <v>3</v>
      </c>
      <c r="S7" s="165">
        <v>1</v>
      </c>
    </row>
    <row r="8" spans="1:19" ht="14.45" x14ac:dyDescent="0.3">
      <c r="A8" s="23" t="s">
        <v>83</v>
      </c>
      <c r="B8" s="23">
        <v>7</v>
      </c>
      <c r="C8" s="23">
        <v>4</v>
      </c>
      <c r="D8" s="23">
        <v>0.75</v>
      </c>
      <c r="E8" s="23">
        <v>0.95</v>
      </c>
      <c r="F8" s="23">
        <v>4</v>
      </c>
      <c r="G8" s="23">
        <v>4</v>
      </c>
      <c r="H8" s="23">
        <v>115</v>
      </c>
      <c r="I8" s="23">
        <v>9.1</v>
      </c>
      <c r="J8" s="25">
        <v>0</v>
      </c>
      <c r="K8" s="25">
        <f t="shared" si="0"/>
        <v>750</v>
      </c>
      <c r="L8" s="25">
        <f t="shared" si="1"/>
        <v>705</v>
      </c>
      <c r="M8" s="125">
        <v>6</v>
      </c>
      <c r="N8" s="125">
        <v>0</v>
      </c>
      <c r="O8" s="125">
        <v>18</v>
      </c>
      <c r="P8" s="125">
        <v>0</v>
      </c>
      <c r="Q8" s="145">
        <v>0</v>
      </c>
      <c r="R8" s="165">
        <v>3</v>
      </c>
      <c r="S8" s="165">
        <v>1</v>
      </c>
    </row>
    <row r="9" spans="1:19" ht="14.45" x14ac:dyDescent="0.3">
      <c r="A9" s="23" t="s">
        <v>84</v>
      </c>
      <c r="B9" s="23">
        <v>6</v>
      </c>
      <c r="C9" s="23">
        <v>5</v>
      </c>
      <c r="D9" s="23">
        <v>0.95</v>
      </c>
      <c r="E9" s="23">
        <v>1.1499999999999999</v>
      </c>
      <c r="F9" s="23">
        <v>5</v>
      </c>
      <c r="G9" s="23">
        <v>5</v>
      </c>
      <c r="H9" s="23">
        <v>115</v>
      </c>
      <c r="I9" s="23">
        <v>9.1</v>
      </c>
      <c r="J9" s="25">
        <v>0</v>
      </c>
      <c r="K9" s="25">
        <f t="shared" si="0"/>
        <v>675</v>
      </c>
      <c r="L9" s="25">
        <f t="shared" si="1"/>
        <v>630</v>
      </c>
      <c r="M9" s="125">
        <v>6</v>
      </c>
      <c r="N9" s="125">
        <v>0</v>
      </c>
      <c r="O9" s="125">
        <v>10</v>
      </c>
      <c r="P9" s="125">
        <v>6</v>
      </c>
      <c r="Q9" s="145">
        <v>0</v>
      </c>
      <c r="R9" s="165">
        <v>3</v>
      </c>
      <c r="S9" s="165">
        <v>1</v>
      </c>
    </row>
    <row r="10" spans="1:19" ht="14.45" x14ac:dyDescent="0.3">
      <c r="A10" s="23" t="s">
        <v>85</v>
      </c>
      <c r="B10" s="23">
        <v>7</v>
      </c>
      <c r="C10" s="23">
        <v>5</v>
      </c>
      <c r="D10" s="23">
        <v>0.95</v>
      </c>
      <c r="E10" s="23">
        <v>1.1499999999999999</v>
      </c>
      <c r="F10" s="23">
        <v>5</v>
      </c>
      <c r="G10" s="23">
        <v>5</v>
      </c>
      <c r="H10" s="23">
        <v>115</v>
      </c>
      <c r="I10" s="23">
        <v>9.1</v>
      </c>
      <c r="J10" s="25">
        <v>0</v>
      </c>
      <c r="K10" s="25">
        <f t="shared" si="0"/>
        <v>750</v>
      </c>
      <c r="L10" s="25">
        <f t="shared" si="1"/>
        <v>705</v>
      </c>
      <c r="M10" s="125">
        <v>10</v>
      </c>
      <c r="N10" s="125">
        <v>0</v>
      </c>
      <c r="O10" s="125">
        <v>31</v>
      </c>
      <c r="P10" s="125">
        <v>6</v>
      </c>
      <c r="Q10" s="145">
        <v>0</v>
      </c>
      <c r="R10" s="165">
        <v>3</v>
      </c>
      <c r="S10" s="165">
        <v>1</v>
      </c>
    </row>
    <row r="11" spans="1:19" ht="17.45" customHeight="1" x14ac:dyDescent="0.25">
      <c r="A11" s="23" t="s">
        <v>86</v>
      </c>
      <c r="B11" s="23">
        <v>6</v>
      </c>
      <c r="C11" s="23">
        <v>6</v>
      </c>
      <c r="D11" s="23">
        <v>1.25</v>
      </c>
      <c r="E11" s="23">
        <v>1.45</v>
      </c>
      <c r="F11" s="23">
        <v>6</v>
      </c>
      <c r="G11" s="23">
        <v>6</v>
      </c>
      <c r="H11" s="23">
        <v>115</v>
      </c>
      <c r="I11" s="23">
        <v>9.1</v>
      </c>
      <c r="J11" s="25">
        <v>0</v>
      </c>
      <c r="K11" s="25">
        <f t="shared" si="0"/>
        <v>675</v>
      </c>
      <c r="L11" s="25">
        <f t="shared" si="1"/>
        <v>630</v>
      </c>
      <c r="M11" s="125">
        <v>10</v>
      </c>
      <c r="N11" s="125">
        <v>0</v>
      </c>
      <c r="O11" s="125">
        <v>23</v>
      </c>
      <c r="P11" s="125">
        <v>5</v>
      </c>
      <c r="Q11" s="145">
        <v>0</v>
      </c>
      <c r="R11" s="165">
        <v>3</v>
      </c>
      <c r="S11" s="165">
        <v>1</v>
      </c>
    </row>
    <row r="12" spans="1:19" x14ac:dyDescent="0.25">
      <c r="A12" s="23" t="s">
        <v>91</v>
      </c>
      <c r="B12" s="23">
        <v>7</v>
      </c>
      <c r="C12" s="23">
        <v>6</v>
      </c>
      <c r="D12" s="23">
        <v>1.25</v>
      </c>
      <c r="E12" s="23">
        <v>1.45</v>
      </c>
      <c r="F12" s="23">
        <v>6</v>
      </c>
      <c r="G12" s="23">
        <v>6</v>
      </c>
      <c r="H12" s="23">
        <v>115</v>
      </c>
      <c r="I12" s="23">
        <v>9.1</v>
      </c>
      <c r="J12" s="25">
        <v>0</v>
      </c>
      <c r="K12" s="25">
        <f t="shared" si="0"/>
        <v>750</v>
      </c>
      <c r="L12" s="25">
        <f t="shared" si="1"/>
        <v>705</v>
      </c>
      <c r="M12" s="125">
        <v>9</v>
      </c>
      <c r="N12" s="125">
        <v>0</v>
      </c>
      <c r="O12" s="125">
        <v>20</v>
      </c>
      <c r="P12" s="125">
        <v>5</v>
      </c>
      <c r="Q12" s="145">
        <v>0</v>
      </c>
      <c r="R12" s="165">
        <v>3</v>
      </c>
      <c r="S12" s="165">
        <v>1</v>
      </c>
    </row>
    <row r="13" spans="1:19" x14ac:dyDescent="0.25">
      <c r="A13" s="23" t="s">
        <v>87</v>
      </c>
      <c r="B13" s="23">
        <v>7</v>
      </c>
      <c r="C13" s="23">
        <v>7</v>
      </c>
      <c r="D13" s="23">
        <v>1.35</v>
      </c>
      <c r="E13" s="23">
        <v>1.55</v>
      </c>
      <c r="F13" s="23">
        <v>7</v>
      </c>
      <c r="G13" s="23">
        <v>7</v>
      </c>
      <c r="H13" s="23">
        <v>115</v>
      </c>
      <c r="I13" s="23">
        <v>9.1</v>
      </c>
      <c r="J13" s="25">
        <v>0</v>
      </c>
      <c r="K13" s="25">
        <f t="shared" si="0"/>
        <v>750</v>
      </c>
      <c r="L13" s="25">
        <f t="shared" si="1"/>
        <v>705</v>
      </c>
      <c r="M13" s="125">
        <v>13</v>
      </c>
      <c r="N13" s="125">
        <v>0</v>
      </c>
      <c r="O13" s="125">
        <v>22</v>
      </c>
      <c r="P13" s="125">
        <v>10</v>
      </c>
      <c r="Q13" s="145">
        <v>0</v>
      </c>
      <c r="R13" s="165">
        <v>3</v>
      </c>
      <c r="S13" s="165">
        <v>1</v>
      </c>
    </row>
    <row r="14" spans="1:19" x14ac:dyDescent="0.25">
      <c r="A14" s="23" t="s">
        <v>88</v>
      </c>
      <c r="B14" s="23">
        <v>6</v>
      </c>
      <c r="C14" s="23">
        <v>7</v>
      </c>
      <c r="D14" s="23">
        <v>1.45</v>
      </c>
      <c r="E14" s="23">
        <v>1.65</v>
      </c>
      <c r="F14" s="23">
        <v>7</v>
      </c>
      <c r="G14" s="23">
        <v>7</v>
      </c>
      <c r="H14" s="23">
        <v>115</v>
      </c>
      <c r="I14" s="23">
        <v>9.1</v>
      </c>
      <c r="J14" s="25">
        <v>0</v>
      </c>
      <c r="K14" s="25">
        <f t="shared" si="0"/>
        <v>675</v>
      </c>
      <c r="L14" s="25">
        <f t="shared" si="1"/>
        <v>630</v>
      </c>
      <c r="M14" s="125">
        <v>8</v>
      </c>
      <c r="N14" s="125">
        <v>0</v>
      </c>
      <c r="O14" s="125">
        <v>21</v>
      </c>
      <c r="P14" s="125">
        <v>10</v>
      </c>
      <c r="Q14" s="145">
        <v>0</v>
      </c>
      <c r="R14" s="165">
        <v>3</v>
      </c>
      <c r="S14" s="165">
        <v>1</v>
      </c>
    </row>
    <row r="15" spans="1:19" x14ac:dyDescent="0.25">
      <c r="A15" s="23" t="s">
        <v>89</v>
      </c>
      <c r="B15" s="23">
        <v>6</v>
      </c>
      <c r="C15" s="23">
        <v>8</v>
      </c>
      <c r="D15" s="23">
        <v>1.65</v>
      </c>
      <c r="E15" s="23">
        <v>1.85</v>
      </c>
      <c r="F15" s="23">
        <v>8</v>
      </c>
      <c r="G15" s="23">
        <v>8</v>
      </c>
      <c r="H15" s="23">
        <v>115</v>
      </c>
      <c r="I15" s="23">
        <v>9.1</v>
      </c>
      <c r="J15" s="25">
        <v>0</v>
      </c>
      <c r="K15" s="25">
        <f t="shared" si="0"/>
        <v>675</v>
      </c>
      <c r="L15" s="25">
        <f t="shared" si="1"/>
        <v>630</v>
      </c>
      <c r="M15" s="125">
        <v>13</v>
      </c>
      <c r="N15" s="125">
        <v>0</v>
      </c>
      <c r="O15" s="125">
        <v>17</v>
      </c>
      <c r="P15" s="125">
        <v>11</v>
      </c>
      <c r="Q15" s="145">
        <v>0</v>
      </c>
      <c r="R15" s="165">
        <v>3</v>
      </c>
      <c r="S15" s="165">
        <v>1</v>
      </c>
    </row>
    <row r="16" spans="1:19" x14ac:dyDescent="0.25">
      <c r="A16" s="23"/>
      <c r="B16" s="23"/>
      <c r="C16" s="23"/>
      <c r="D16" s="23"/>
      <c r="E16" s="23"/>
      <c r="F16" s="23"/>
      <c r="G16" s="23"/>
      <c r="H16" s="23"/>
      <c r="I16" s="23"/>
    </row>
    <row r="17" spans="1:19" x14ac:dyDescent="0.25">
      <c r="A17" s="23"/>
      <c r="B17" s="41"/>
      <c r="C17" s="41"/>
      <c r="D17" s="23"/>
      <c r="E17" s="23"/>
      <c r="F17" s="23"/>
      <c r="G17" s="23"/>
      <c r="H17" s="23"/>
      <c r="I17" s="23"/>
    </row>
    <row r="18" spans="1:19" ht="30" x14ac:dyDescent="0.25">
      <c r="A18" s="27" t="s">
        <v>93</v>
      </c>
      <c r="B18" s="25">
        <f t="array" ref="B18">MATCH(New_Entry_Rubric!I13&amp;New_Entry_Rubric!J13,'Data Lookup'!B3:B15&amp;'Data Lookup'!C3:C15,0)</f>
        <v>11</v>
      </c>
    </row>
    <row r="19" spans="1:19" x14ac:dyDescent="0.25">
      <c r="F19" s="17" t="s">
        <v>12</v>
      </c>
      <c r="G19" s="18" t="s">
        <v>13</v>
      </c>
      <c r="H19" s="29" t="s">
        <v>18</v>
      </c>
      <c r="I19" s="29" t="s">
        <v>72</v>
      </c>
      <c r="J19" s="30" t="s">
        <v>45</v>
      </c>
      <c r="K19" s="31" t="s">
        <v>19</v>
      </c>
      <c r="L19" s="32" t="s">
        <v>20</v>
      </c>
      <c r="M19" s="33" t="s">
        <v>47</v>
      </c>
      <c r="N19" s="34" t="s">
        <v>48</v>
      </c>
      <c r="O19" s="33" t="s">
        <v>49</v>
      </c>
      <c r="P19" s="33" t="s">
        <v>50</v>
      </c>
      <c r="Q19" s="34" t="s">
        <v>51</v>
      </c>
      <c r="R19" s="35" t="s">
        <v>68</v>
      </c>
      <c r="S19" s="35" t="s">
        <v>69</v>
      </c>
    </row>
    <row r="20" spans="1:19" ht="30" customHeight="1" x14ac:dyDescent="0.25">
      <c r="B20" s="28"/>
      <c r="D20" s="204" t="s">
        <v>95</v>
      </c>
      <c r="E20" s="205"/>
      <c r="F20" s="23">
        <f t="shared" ref="F20:S20" si="2">MATCH(F19,$F$1:$S$1,0)</f>
        <v>1</v>
      </c>
      <c r="G20" s="23">
        <f t="shared" si="2"/>
        <v>2</v>
      </c>
      <c r="H20" s="23">
        <f t="shared" si="2"/>
        <v>3</v>
      </c>
      <c r="I20" s="23">
        <f t="shared" si="2"/>
        <v>4</v>
      </c>
      <c r="J20" s="23">
        <f t="shared" si="2"/>
        <v>5</v>
      </c>
      <c r="K20" s="23">
        <f t="shared" si="2"/>
        <v>6</v>
      </c>
      <c r="L20" s="23">
        <f t="shared" si="2"/>
        <v>7</v>
      </c>
      <c r="M20" s="23">
        <f t="shared" si="2"/>
        <v>8</v>
      </c>
      <c r="N20" s="23">
        <f t="shared" si="2"/>
        <v>9</v>
      </c>
      <c r="O20" s="23">
        <f t="shared" si="2"/>
        <v>10</v>
      </c>
      <c r="P20" s="23">
        <f t="shared" si="2"/>
        <v>11</v>
      </c>
      <c r="Q20" s="23">
        <f t="shared" si="2"/>
        <v>12</v>
      </c>
      <c r="R20" s="23">
        <f t="shared" si="2"/>
        <v>13</v>
      </c>
      <c r="S20" s="23">
        <f t="shared" si="2"/>
        <v>14</v>
      </c>
    </row>
    <row r="21" spans="1:19" x14ac:dyDescent="0.25">
      <c r="D21" s="206" t="s">
        <v>94</v>
      </c>
      <c r="E21" s="206"/>
      <c r="F21" s="25">
        <f t="shared" ref="F21:S21" si="3">INDEX($F$3:$S$15,$B$18,F20)</f>
        <v>7</v>
      </c>
      <c r="G21" s="25">
        <f t="shared" si="3"/>
        <v>7</v>
      </c>
      <c r="H21" s="25">
        <f t="shared" si="3"/>
        <v>115</v>
      </c>
      <c r="I21" s="25">
        <f t="shared" si="3"/>
        <v>9.1</v>
      </c>
      <c r="J21" s="25">
        <f t="shared" si="3"/>
        <v>0</v>
      </c>
      <c r="K21" s="25">
        <f t="shared" si="3"/>
        <v>750</v>
      </c>
      <c r="L21" s="25">
        <f t="shared" si="3"/>
        <v>705</v>
      </c>
      <c r="M21" s="25">
        <f t="shared" si="3"/>
        <v>13</v>
      </c>
      <c r="N21" s="25">
        <f t="shared" si="3"/>
        <v>0</v>
      </c>
      <c r="O21" s="25">
        <f t="shared" si="3"/>
        <v>22</v>
      </c>
      <c r="P21" s="25">
        <f t="shared" si="3"/>
        <v>10</v>
      </c>
      <c r="Q21" s="25">
        <f t="shared" si="3"/>
        <v>0</v>
      </c>
      <c r="R21" s="25">
        <f t="shared" si="3"/>
        <v>3</v>
      </c>
      <c r="S21" s="25">
        <f t="shared" si="3"/>
        <v>1</v>
      </c>
    </row>
    <row r="23" spans="1:19" x14ac:dyDescent="0.25">
      <c r="F23" s="29" t="s">
        <v>16</v>
      </c>
    </row>
    <row r="24" spans="1:19" ht="28.9" customHeight="1" thickBot="1" x14ac:dyDescent="0.3">
      <c r="D24" s="204" t="s">
        <v>95</v>
      </c>
      <c r="E24" s="205"/>
      <c r="F24" s="36">
        <f>IF(New_Entry_Rubric!Y13*New_Entry_Rubric!Z13=1,2,1)</f>
        <v>2</v>
      </c>
    </row>
    <row r="25" spans="1:19" x14ac:dyDescent="0.25">
      <c r="F25" s="25">
        <f>INDEX(D3:E15,B18,F24)*1000</f>
        <v>1550</v>
      </c>
    </row>
  </sheetData>
  <autoFilter ref="A1:S15"/>
  <mergeCells count="3">
    <mergeCell ref="D20:E20"/>
    <mergeCell ref="D21:E21"/>
    <mergeCell ref="D24:E2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L24"/>
  <sheetViews>
    <sheetView tabSelected="1" zoomScaleNormal="100" workbookViewId="0">
      <selection activeCell="AD13" sqref="AD13"/>
    </sheetView>
  </sheetViews>
  <sheetFormatPr defaultColWidth="8.85546875" defaultRowHeight="15" x14ac:dyDescent="0.25"/>
  <cols>
    <col min="1" max="1" width="19.28515625" style="126" customWidth="1"/>
    <col min="2" max="2" width="15" style="126" bestFit="1" customWidth="1"/>
    <col min="3" max="24" width="8.85546875" style="126"/>
    <col min="25" max="25" width="12.85546875" style="126" bestFit="1" customWidth="1"/>
    <col min="26" max="27" width="8.85546875" style="126"/>
    <col min="28" max="28" width="10.28515625" style="126" bestFit="1" customWidth="1"/>
    <col min="29" max="30" width="8.85546875" style="126"/>
    <col min="31" max="31" width="13.140625" style="126" bestFit="1" customWidth="1"/>
    <col min="32" max="34" width="8.85546875" style="126"/>
    <col min="35" max="35" width="13.5703125" style="126" bestFit="1" customWidth="1"/>
    <col min="36" max="36" width="8.85546875" style="126"/>
    <col min="37" max="38" width="13.5703125" style="126" bestFit="1" customWidth="1"/>
    <col min="39" max="39" width="8.85546875" style="126"/>
    <col min="40" max="40" width="14" style="126" bestFit="1" customWidth="1"/>
    <col min="41" max="43" width="8.85546875" style="126"/>
    <col min="44" max="53" width="10.140625" style="126" bestFit="1" customWidth="1"/>
    <col min="54" max="143" width="11.140625" style="126" bestFit="1" customWidth="1"/>
    <col min="144" max="171" width="12.140625" style="126" bestFit="1" customWidth="1"/>
    <col min="172" max="16384" width="8.85546875" style="126"/>
  </cols>
  <sheetData>
    <row r="1" spans="1:298" ht="14.45" x14ac:dyDescent="0.3">
      <c r="A1" s="126">
        <v>1</v>
      </c>
      <c r="B1" s="126">
        <v>2</v>
      </c>
      <c r="C1" s="126">
        <v>3</v>
      </c>
      <c r="D1" s="126">
        <v>4</v>
      </c>
      <c r="E1" s="126">
        <v>5</v>
      </c>
      <c r="F1" s="126">
        <v>6</v>
      </c>
      <c r="G1" s="126">
        <v>7</v>
      </c>
      <c r="H1" s="126">
        <v>8</v>
      </c>
      <c r="I1" s="126">
        <v>9</v>
      </c>
      <c r="J1" s="126">
        <v>10</v>
      </c>
      <c r="K1" s="126">
        <v>11</v>
      </c>
      <c r="L1" s="126">
        <v>12</v>
      </c>
      <c r="M1" s="126">
        <v>13</v>
      </c>
      <c r="N1" s="126">
        <v>14</v>
      </c>
      <c r="O1" s="126">
        <v>15</v>
      </c>
      <c r="P1" s="126">
        <v>16</v>
      </c>
      <c r="Q1" s="126">
        <v>17</v>
      </c>
      <c r="R1" s="126">
        <v>18</v>
      </c>
      <c r="S1" s="126">
        <v>19</v>
      </c>
      <c r="T1" s="126">
        <v>20</v>
      </c>
      <c r="U1" s="126">
        <v>21</v>
      </c>
      <c r="V1" s="126">
        <v>22</v>
      </c>
      <c r="W1" s="126">
        <v>23</v>
      </c>
      <c r="X1" s="126">
        <v>24</v>
      </c>
      <c r="Y1" s="126">
        <v>25</v>
      </c>
      <c r="Z1" s="126">
        <v>26</v>
      </c>
      <c r="AA1" s="126">
        <v>27</v>
      </c>
      <c r="AB1" s="126">
        <v>28</v>
      </c>
      <c r="AC1" s="126">
        <v>29</v>
      </c>
      <c r="AD1" s="126">
        <v>30</v>
      </c>
      <c r="AE1" s="126">
        <v>31</v>
      </c>
      <c r="AF1" s="126">
        <v>32</v>
      </c>
      <c r="AG1" s="126">
        <v>33</v>
      </c>
      <c r="AH1" s="126">
        <v>34</v>
      </c>
      <c r="AI1" s="126">
        <v>35</v>
      </c>
      <c r="AJ1" s="126">
        <v>36</v>
      </c>
      <c r="AK1" s="126">
        <v>37</v>
      </c>
      <c r="AL1" s="126">
        <v>38</v>
      </c>
      <c r="AM1" s="126">
        <v>39</v>
      </c>
      <c r="AN1" s="126">
        <v>40</v>
      </c>
      <c r="AO1" s="126">
        <v>41</v>
      </c>
      <c r="AP1" s="126">
        <v>42</v>
      </c>
      <c r="AQ1" s="126">
        <v>43</v>
      </c>
      <c r="AR1" s="126">
        <v>44</v>
      </c>
      <c r="AS1" s="126">
        <v>45</v>
      </c>
      <c r="AT1" s="126">
        <v>46</v>
      </c>
      <c r="AU1" s="126">
        <v>47</v>
      </c>
      <c r="AV1" s="126">
        <v>48</v>
      </c>
      <c r="AW1" s="126">
        <v>49</v>
      </c>
      <c r="AX1" s="126">
        <v>50</v>
      </c>
      <c r="AY1" s="126">
        <v>51</v>
      </c>
      <c r="AZ1" s="126">
        <v>52</v>
      </c>
      <c r="BA1" s="126">
        <v>53</v>
      </c>
      <c r="BB1" s="126">
        <v>54</v>
      </c>
      <c r="BC1" s="126">
        <v>55</v>
      </c>
      <c r="BD1" s="126">
        <v>56</v>
      </c>
      <c r="BE1" s="126">
        <v>57</v>
      </c>
      <c r="BF1" s="126">
        <v>58</v>
      </c>
      <c r="BG1" s="126">
        <v>59</v>
      </c>
      <c r="BH1" s="126">
        <v>60</v>
      </c>
      <c r="BI1" s="126">
        <v>61</v>
      </c>
      <c r="BJ1" s="126">
        <v>62</v>
      </c>
      <c r="BK1" s="126">
        <v>63</v>
      </c>
      <c r="BL1" s="126">
        <v>64</v>
      </c>
      <c r="BM1" s="126">
        <v>65</v>
      </c>
      <c r="BN1" s="126">
        <v>66</v>
      </c>
      <c r="BO1" s="126">
        <v>67</v>
      </c>
      <c r="BP1" s="126">
        <v>68</v>
      </c>
      <c r="BQ1" s="126">
        <v>69</v>
      </c>
      <c r="BR1" s="126">
        <v>70</v>
      </c>
      <c r="BS1" s="126">
        <v>71</v>
      </c>
      <c r="BT1" s="126">
        <v>72</v>
      </c>
      <c r="BU1" s="126">
        <v>73</v>
      </c>
      <c r="BV1" s="126">
        <v>74</v>
      </c>
      <c r="BW1" s="126">
        <v>75</v>
      </c>
      <c r="BX1" s="126">
        <v>76</v>
      </c>
      <c r="BY1" s="126">
        <v>77</v>
      </c>
      <c r="BZ1" s="126">
        <v>78</v>
      </c>
      <c r="CA1" s="126">
        <v>79</v>
      </c>
      <c r="CB1" s="126">
        <v>80</v>
      </c>
      <c r="CC1" s="126">
        <v>81</v>
      </c>
      <c r="CD1" s="126">
        <v>82</v>
      </c>
      <c r="CE1" s="126">
        <v>83</v>
      </c>
      <c r="CF1" s="126">
        <v>84</v>
      </c>
      <c r="CG1" s="126">
        <v>85</v>
      </c>
      <c r="CH1" s="126">
        <v>86</v>
      </c>
      <c r="CI1" s="126">
        <v>87</v>
      </c>
      <c r="CJ1" s="126">
        <v>88</v>
      </c>
      <c r="CK1" s="126">
        <v>89</v>
      </c>
      <c r="CL1" s="126">
        <v>90</v>
      </c>
      <c r="CM1" s="126">
        <v>91</v>
      </c>
      <c r="CN1" s="126">
        <v>92</v>
      </c>
      <c r="CO1" s="126">
        <v>93</v>
      </c>
      <c r="CP1" s="126">
        <v>94</v>
      </c>
      <c r="CQ1" s="126">
        <v>95</v>
      </c>
      <c r="CR1" s="126">
        <v>96</v>
      </c>
      <c r="CS1" s="126">
        <v>97</v>
      </c>
      <c r="CT1" s="126">
        <v>98</v>
      </c>
      <c r="CU1" s="126">
        <v>99</v>
      </c>
      <c r="CV1" s="126">
        <v>100</v>
      </c>
      <c r="CW1" s="126">
        <v>101</v>
      </c>
      <c r="CX1" s="126">
        <v>102</v>
      </c>
      <c r="CY1" s="126">
        <v>103</v>
      </c>
      <c r="CZ1" s="126">
        <v>104</v>
      </c>
      <c r="DA1" s="126">
        <v>105</v>
      </c>
      <c r="DB1" s="126">
        <v>106</v>
      </c>
      <c r="DC1" s="126">
        <v>107</v>
      </c>
      <c r="DD1" s="126">
        <v>108</v>
      </c>
      <c r="DE1" s="126">
        <v>109</v>
      </c>
      <c r="DF1" s="126">
        <v>110</v>
      </c>
      <c r="DG1" s="126">
        <v>111</v>
      </c>
      <c r="DH1" s="126">
        <v>112</v>
      </c>
      <c r="DI1" s="126">
        <v>113</v>
      </c>
      <c r="DJ1" s="126">
        <v>114</v>
      </c>
      <c r="DK1" s="126">
        <v>115</v>
      </c>
      <c r="DL1" s="126">
        <v>116</v>
      </c>
      <c r="DM1" s="126">
        <v>117</v>
      </c>
      <c r="DN1" s="126">
        <v>118</v>
      </c>
      <c r="DO1" s="126">
        <v>119</v>
      </c>
      <c r="DP1" s="126">
        <v>120</v>
      </c>
      <c r="DQ1" s="126">
        <v>121</v>
      </c>
      <c r="DR1" s="126">
        <v>122</v>
      </c>
      <c r="DS1" s="126">
        <v>123</v>
      </c>
      <c r="DT1" s="126">
        <v>124</v>
      </c>
      <c r="DU1" s="126">
        <v>125</v>
      </c>
      <c r="DV1" s="126">
        <v>126</v>
      </c>
      <c r="DW1" s="126">
        <v>127</v>
      </c>
      <c r="DX1" s="126">
        <v>128</v>
      </c>
      <c r="DY1" s="126">
        <v>129</v>
      </c>
      <c r="DZ1" s="126">
        <v>130</v>
      </c>
      <c r="EA1" s="126">
        <v>131</v>
      </c>
      <c r="EB1" s="126">
        <v>132</v>
      </c>
      <c r="EC1" s="126">
        <v>133</v>
      </c>
      <c r="ED1" s="126">
        <v>134</v>
      </c>
      <c r="EE1" s="126">
        <v>135</v>
      </c>
      <c r="EF1" s="126">
        <v>136</v>
      </c>
      <c r="EG1" s="126">
        <v>137</v>
      </c>
      <c r="EH1" s="126">
        <v>138</v>
      </c>
      <c r="EI1" s="126">
        <v>139</v>
      </c>
      <c r="EJ1" s="126">
        <v>140</v>
      </c>
      <c r="EK1" s="126">
        <v>141</v>
      </c>
      <c r="EL1" s="126">
        <v>142</v>
      </c>
      <c r="EM1" s="126">
        <v>143</v>
      </c>
      <c r="EN1" s="126">
        <v>144</v>
      </c>
      <c r="EO1" s="126">
        <v>145</v>
      </c>
      <c r="EP1" s="126">
        <v>146</v>
      </c>
      <c r="EQ1" s="126">
        <v>147</v>
      </c>
      <c r="ER1" s="126">
        <v>148</v>
      </c>
      <c r="ES1" s="126">
        <v>149</v>
      </c>
      <c r="ET1" s="126">
        <v>150</v>
      </c>
      <c r="EU1" s="126">
        <v>151</v>
      </c>
      <c r="EV1" s="126">
        <v>152</v>
      </c>
      <c r="EW1" s="126">
        <v>153</v>
      </c>
      <c r="EX1" s="126">
        <v>154</v>
      </c>
      <c r="EY1" s="126">
        <v>155</v>
      </c>
      <c r="EZ1" s="126">
        <v>156</v>
      </c>
      <c r="FA1" s="126">
        <v>157</v>
      </c>
      <c r="FB1" s="126">
        <v>158</v>
      </c>
      <c r="FC1" s="126">
        <v>159</v>
      </c>
      <c r="FD1" s="126">
        <v>160</v>
      </c>
      <c r="FE1" s="126">
        <v>161</v>
      </c>
      <c r="FF1" s="126">
        <v>162</v>
      </c>
      <c r="FG1" s="126">
        <v>163</v>
      </c>
      <c r="FH1" s="126">
        <v>164</v>
      </c>
      <c r="FI1" s="126">
        <v>165</v>
      </c>
      <c r="FJ1" s="126">
        <v>166</v>
      </c>
      <c r="FK1" s="126">
        <v>167</v>
      </c>
      <c r="FL1" s="126">
        <v>168</v>
      </c>
      <c r="FM1" s="126">
        <v>169</v>
      </c>
      <c r="FN1" s="126">
        <v>170</v>
      </c>
      <c r="FO1" s="126">
        <v>171</v>
      </c>
    </row>
    <row r="3" spans="1:298" ht="28.9" x14ac:dyDescent="0.3">
      <c r="A3" s="49" t="s">
        <v>92</v>
      </c>
      <c r="B3" s="126">
        <f>IF(C13&lt;&gt;"",1,IF(D13&lt;&gt;"",2,3))</f>
        <v>3</v>
      </c>
    </row>
    <row r="5" spans="1:298" ht="30.6" x14ac:dyDescent="0.45">
      <c r="A5" s="45" t="s">
        <v>96</v>
      </c>
      <c r="B5" s="44" t="s">
        <v>452</v>
      </c>
      <c r="C5" s="42"/>
      <c r="D5" s="42"/>
      <c r="H5" s="15"/>
    </row>
    <row r="6" spans="1:298" ht="14.45" customHeight="1" x14ac:dyDescent="0.45">
      <c r="A6" s="42"/>
      <c r="B6" s="42"/>
      <c r="C6" s="42"/>
      <c r="D6" s="42"/>
    </row>
    <row r="7" spans="1:298" ht="14.45" customHeight="1" x14ac:dyDescent="0.45">
      <c r="A7" s="42"/>
      <c r="B7" s="42"/>
      <c r="C7" s="42"/>
      <c r="D7" s="42"/>
    </row>
    <row r="10" spans="1:298" ht="14.45" x14ac:dyDescent="0.3">
      <c r="A10" s="70" t="s">
        <v>9</v>
      </c>
      <c r="B10" s="71">
        <v>1</v>
      </c>
      <c r="C10" s="71"/>
      <c r="D10" s="71"/>
      <c r="E10" s="71"/>
      <c r="F10" s="77" t="s">
        <v>33</v>
      </c>
      <c r="G10" s="77" t="s">
        <v>34</v>
      </c>
      <c r="H10" s="77"/>
      <c r="I10" s="122"/>
      <c r="J10" s="122"/>
      <c r="K10" s="72">
        <v>4</v>
      </c>
      <c r="L10" s="73">
        <v>6</v>
      </c>
      <c r="M10" s="78">
        <v>7</v>
      </c>
      <c r="N10" s="78">
        <v>8</v>
      </c>
      <c r="O10" s="78">
        <v>9</v>
      </c>
      <c r="P10" s="78">
        <v>10</v>
      </c>
      <c r="Q10" s="78">
        <v>11</v>
      </c>
      <c r="R10" s="78">
        <v>12</v>
      </c>
      <c r="S10" s="78">
        <v>13</v>
      </c>
      <c r="T10" s="78">
        <v>14</v>
      </c>
      <c r="U10" s="78">
        <v>15</v>
      </c>
      <c r="V10" s="78">
        <v>16</v>
      </c>
      <c r="W10" s="78">
        <v>17</v>
      </c>
      <c r="X10" s="78">
        <v>18</v>
      </c>
      <c r="Y10" s="78">
        <v>19</v>
      </c>
      <c r="Z10" s="78">
        <v>20</v>
      </c>
      <c r="AA10" s="78">
        <v>21</v>
      </c>
      <c r="AB10" s="78">
        <v>22</v>
      </c>
      <c r="AC10" s="78">
        <v>23</v>
      </c>
      <c r="AD10" s="78">
        <v>24</v>
      </c>
      <c r="AE10" s="78">
        <v>25</v>
      </c>
      <c r="AF10" s="78">
        <v>26</v>
      </c>
      <c r="AG10" s="74">
        <v>27</v>
      </c>
      <c r="AH10" s="75">
        <v>28</v>
      </c>
      <c r="AI10" s="96">
        <v>29</v>
      </c>
      <c r="AJ10" s="91">
        <v>30</v>
      </c>
      <c r="AK10" s="96">
        <v>31</v>
      </c>
      <c r="AL10" s="96">
        <v>32</v>
      </c>
      <c r="AM10" s="99">
        <v>33</v>
      </c>
      <c r="AN10" s="99">
        <v>34</v>
      </c>
      <c r="AO10" s="100">
        <v>35</v>
      </c>
      <c r="AP10" s="114">
        <v>41</v>
      </c>
      <c r="AQ10" s="101">
        <v>46</v>
      </c>
    </row>
    <row r="11" spans="1:298" x14ac:dyDescent="0.25">
      <c r="A11" s="70" t="s">
        <v>10</v>
      </c>
      <c r="B11" s="71" t="s">
        <v>11</v>
      </c>
      <c r="C11" s="198" t="s">
        <v>31</v>
      </c>
      <c r="D11" s="199"/>
      <c r="E11" s="200"/>
      <c r="F11" s="77" t="s">
        <v>31</v>
      </c>
      <c r="G11" s="77" t="s">
        <v>52</v>
      </c>
      <c r="H11" s="117" t="s">
        <v>70</v>
      </c>
      <c r="I11" s="122" t="s">
        <v>76</v>
      </c>
      <c r="J11" s="122" t="s">
        <v>75</v>
      </c>
      <c r="K11" s="72" t="s">
        <v>12</v>
      </c>
      <c r="L11" s="73" t="s">
        <v>13</v>
      </c>
      <c r="M11" s="78" t="s">
        <v>18</v>
      </c>
      <c r="N11" s="78" t="s">
        <v>16</v>
      </c>
      <c r="O11" s="78" t="s">
        <v>72</v>
      </c>
      <c r="P11" s="78" t="s">
        <v>14</v>
      </c>
      <c r="Q11" s="94" t="s">
        <v>35</v>
      </c>
      <c r="R11" s="91" t="s">
        <v>36</v>
      </c>
      <c r="S11" s="94" t="s">
        <v>55</v>
      </c>
      <c r="T11" s="91" t="s">
        <v>37</v>
      </c>
      <c r="U11" s="91" t="s">
        <v>56</v>
      </c>
      <c r="V11" s="91" t="s">
        <v>38</v>
      </c>
      <c r="W11" s="91" t="s">
        <v>39</v>
      </c>
      <c r="X11" s="91" t="s">
        <v>40</v>
      </c>
      <c r="Y11" s="96" t="s">
        <v>54</v>
      </c>
      <c r="Z11" s="96" t="s">
        <v>53</v>
      </c>
      <c r="AA11" s="91" t="s">
        <v>41</v>
      </c>
      <c r="AB11" s="91" t="s">
        <v>42</v>
      </c>
      <c r="AC11" s="91" t="s">
        <v>43</v>
      </c>
      <c r="AD11" s="92" t="s">
        <v>44</v>
      </c>
      <c r="AE11" s="171" t="s">
        <v>402</v>
      </c>
      <c r="AF11" s="95" t="s">
        <v>45</v>
      </c>
      <c r="AG11" s="74" t="s">
        <v>19</v>
      </c>
      <c r="AH11" s="75" t="s">
        <v>20</v>
      </c>
      <c r="AI11" s="96" t="s">
        <v>47</v>
      </c>
      <c r="AJ11" s="91" t="s">
        <v>48</v>
      </c>
      <c r="AK11" s="96" t="s">
        <v>49</v>
      </c>
      <c r="AL11" s="96" t="s">
        <v>50</v>
      </c>
      <c r="AM11" s="91" t="s">
        <v>51</v>
      </c>
      <c r="AN11" s="115" t="s">
        <v>66</v>
      </c>
      <c r="AO11" s="79" t="s">
        <v>15</v>
      </c>
      <c r="AP11" s="79" t="s">
        <v>60</v>
      </c>
      <c r="AQ11" s="79" t="s">
        <v>17</v>
      </c>
      <c r="AR11" s="169" t="s">
        <v>267</v>
      </c>
      <c r="AS11" s="169" t="s">
        <v>268</v>
      </c>
      <c r="AT11" s="169" t="s">
        <v>269</v>
      </c>
      <c r="AU11" s="169" t="s">
        <v>270</v>
      </c>
      <c r="AV11" s="169" t="s">
        <v>271</v>
      </c>
      <c r="AW11" s="169" t="s">
        <v>272</v>
      </c>
      <c r="AX11" s="169" t="s">
        <v>273</v>
      </c>
      <c r="AY11" s="169" t="s">
        <v>274</v>
      </c>
      <c r="AZ11" s="169" t="s">
        <v>275</v>
      </c>
      <c r="BA11" s="169" t="s">
        <v>276</v>
      </c>
      <c r="BB11" s="169" t="s">
        <v>277</v>
      </c>
      <c r="BC11" s="169" t="s">
        <v>278</v>
      </c>
      <c r="BD11" s="169" t="s">
        <v>279</v>
      </c>
      <c r="BE11" s="169" t="s">
        <v>280</v>
      </c>
      <c r="BF11" s="169" t="s">
        <v>281</v>
      </c>
      <c r="BG11" s="169" t="s">
        <v>282</v>
      </c>
      <c r="BH11" s="169" t="s">
        <v>283</v>
      </c>
      <c r="BI11" s="169" t="s">
        <v>284</v>
      </c>
      <c r="BJ11" s="169" t="s">
        <v>285</v>
      </c>
      <c r="BK11" s="169" t="s">
        <v>286</v>
      </c>
      <c r="BL11" s="169" t="s">
        <v>287</v>
      </c>
      <c r="BM11" s="169" t="s">
        <v>288</v>
      </c>
      <c r="BN11" s="169" t="s">
        <v>289</v>
      </c>
      <c r="BO11" s="169" t="s">
        <v>290</v>
      </c>
      <c r="BP11" s="169" t="s">
        <v>291</v>
      </c>
      <c r="BQ11" s="169" t="s">
        <v>292</v>
      </c>
      <c r="BR11" s="169" t="s">
        <v>293</v>
      </c>
      <c r="BS11" s="169" t="s">
        <v>294</v>
      </c>
      <c r="BT11" s="169" t="s">
        <v>295</v>
      </c>
      <c r="BU11" s="169" t="s">
        <v>296</v>
      </c>
      <c r="BV11" s="169" t="s">
        <v>297</v>
      </c>
      <c r="BW11" s="169" t="s">
        <v>298</v>
      </c>
      <c r="BX11" s="169" t="s">
        <v>299</v>
      </c>
      <c r="BY11" s="169" t="s">
        <v>300</v>
      </c>
      <c r="BZ11" s="169" t="s">
        <v>301</v>
      </c>
      <c r="CA11" s="169" t="s">
        <v>302</v>
      </c>
      <c r="CB11" s="169" t="s">
        <v>303</v>
      </c>
      <c r="CC11" s="169" t="s">
        <v>304</v>
      </c>
      <c r="CD11" s="169" t="s">
        <v>305</v>
      </c>
      <c r="CE11" s="169" t="s">
        <v>306</v>
      </c>
      <c r="CF11" s="169" t="s">
        <v>307</v>
      </c>
      <c r="CG11" s="169" t="s">
        <v>308</v>
      </c>
      <c r="CH11" s="169" t="s">
        <v>309</v>
      </c>
      <c r="CI11" s="169" t="s">
        <v>310</v>
      </c>
      <c r="CJ11" s="169" t="s">
        <v>311</v>
      </c>
      <c r="CK11" s="169" t="s">
        <v>312</v>
      </c>
      <c r="CL11" s="169" t="s">
        <v>313</v>
      </c>
      <c r="CM11" s="169" t="s">
        <v>314</v>
      </c>
      <c r="CN11" s="169" t="s">
        <v>315</v>
      </c>
      <c r="CO11" s="169" t="s">
        <v>316</v>
      </c>
      <c r="CP11" s="169" t="s">
        <v>317</v>
      </c>
      <c r="CQ11" s="169" t="s">
        <v>318</v>
      </c>
      <c r="CR11" s="169" t="s">
        <v>319</v>
      </c>
      <c r="CS11" s="169" t="s">
        <v>320</v>
      </c>
      <c r="CT11" s="169" t="s">
        <v>321</v>
      </c>
      <c r="CU11" s="169" t="s">
        <v>322</v>
      </c>
      <c r="CV11" s="169" t="s">
        <v>323</v>
      </c>
      <c r="CW11" s="169" t="s">
        <v>324</v>
      </c>
      <c r="CX11" s="169" t="s">
        <v>325</v>
      </c>
      <c r="CY11" s="169" t="s">
        <v>326</v>
      </c>
      <c r="CZ11" s="169" t="s">
        <v>327</v>
      </c>
      <c r="DA11" s="169" t="s">
        <v>328</v>
      </c>
      <c r="DB11" s="169" t="s">
        <v>329</v>
      </c>
      <c r="DC11" s="169" t="s">
        <v>330</v>
      </c>
      <c r="DD11" s="169" t="s">
        <v>331</v>
      </c>
      <c r="DE11" s="169" t="s">
        <v>332</v>
      </c>
      <c r="DF11" s="169" t="s">
        <v>333</v>
      </c>
      <c r="DG11" s="169" t="s">
        <v>334</v>
      </c>
      <c r="DH11" s="169" t="s">
        <v>335</v>
      </c>
      <c r="DI11" s="169" t="s">
        <v>336</v>
      </c>
      <c r="DJ11" s="169" t="s">
        <v>337</v>
      </c>
      <c r="DK11" s="169" t="s">
        <v>338</v>
      </c>
      <c r="DL11" s="169" t="s">
        <v>339</v>
      </c>
      <c r="DM11" s="169" t="s">
        <v>340</v>
      </c>
      <c r="DN11" s="169" t="s">
        <v>341</v>
      </c>
      <c r="DO11" s="169" t="s">
        <v>342</v>
      </c>
      <c r="DP11" s="169" t="s">
        <v>343</v>
      </c>
      <c r="DQ11" s="169" t="s">
        <v>344</v>
      </c>
      <c r="DR11" s="169" t="s">
        <v>345</v>
      </c>
      <c r="DS11" s="169" t="s">
        <v>346</v>
      </c>
      <c r="DT11" s="169" t="s">
        <v>347</v>
      </c>
      <c r="DU11" s="169" t="s">
        <v>348</v>
      </c>
      <c r="DV11" s="169" t="s">
        <v>349</v>
      </c>
      <c r="DW11" s="169" t="s">
        <v>350</v>
      </c>
      <c r="DX11" s="169" t="s">
        <v>351</v>
      </c>
      <c r="DY11" s="169" t="s">
        <v>352</v>
      </c>
      <c r="DZ11" s="169" t="s">
        <v>353</v>
      </c>
      <c r="EA11" s="169" t="s">
        <v>354</v>
      </c>
      <c r="EB11" s="169" t="s">
        <v>355</v>
      </c>
      <c r="EC11" s="169" t="s">
        <v>356</v>
      </c>
      <c r="ED11" s="169" t="s">
        <v>357</v>
      </c>
      <c r="EE11" s="169" t="s">
        <v>358</v>
      </c>
      <c r="EF11" s="169" t="s">
        <v>359</v>
      </c>
      <c r="EG11" s="169" t="s">
        <v>360</v>
      </c>
      <c r="EH11" s="169" t="s">
        <v>361</v>
      </c>
      <c r="EI11" s="169" t="s">
        <v>362</v>
      </c>
      <c r="EJ11" s="169" t="s">
        <v>363</v>
      </c>
      <c r="EK11" s="169" t="s">
        <v>364</v>
      </c>
      <c r="EL11" s="169" t="s">
        <v>365</v>
      </c>
      <c r="EM11" s="169" t="s">
        <v>366</v>
      </c>
      <c r="EN11" s="169" t="s">
        <v>367</v>
      </c>
      <c r="EO11" s="169" t="s">
        <v>368</v>
      </c>
      <c r="EP11" s="169" t="s">
        <v>369</v>
      </c>
      <c r="EQ11" s="169" t="s">
        <v>370</v>
      </c>
      <c r="ER11" s="169" t="s">
        <v>371</v>
      </c>
      <c r="ES11" s="169" t="s">
        <v>372</v>
      </c>
      <c r="ET11" s="169" t="s">
        <v>373</v>
      </c>
      <c r="EU11" s="169" t="s">
        <v>374</v>
      </c>
      <c r="EV11" s="169" t="s">
        <v>375</v>
      </c>
      <c r="EW11" s="169" t="s">
        <v>376</v>
      </c>
      <c r="EX11" s="169" t="s">
        <v>377</v>
      </c>
      <c r="EY11" s="169" t="s">
        <v>378</v>
      </c>
      <c r="EZ11" s="169" t="s">
        <v>379</v>
      </c>
      <c r="FA11" s="169" t="s">
        <v>380</v>
      </c>
      <c r="FB11" s="169" t="s">
        <v>381</v>
      </c>
      <c r="FC11" s="169" t="s">
        <v>382</v>
      </c>
      <c r="FD11" s="169" t="s">
        <v>383</v>
      </c>
      <c r="FE11" s="169" t="s">
        <v>384</v>
      </c>
      <c r="FF11" s="169" t="s">
        <v>385</v>
      </c>
      <c r="FG11" s="169" t="s">
        <v>386</v>
      </c>
      <c r="FH11" s="169" t="s">
        <v>387</v>
      </c>
      <c r="FI11" s="169" t="s">
        <v>388</v>
      </c>
      <c r="FJ11" s="169" t="s">
        <v>389</v>
      </c>
      <c r="FK11" s="169" t="s">
        <v>390</v>
      </c>
      <c r="FL11" s="169" t="s">
        <v>391</v>
      </c>
      <c r="FM11" s="169" t="s">
        <v>392</v>
      </c>
      <c r="FN11" s="169" t="s">
        <v>393</v>
      </c>
      <c r="FO11" s="169" t="s">
        <v>394</v>
      </c>
      <c r="FP11" s="169"/>
      <c r="FQ11" s="169"/>
      <c r="FR11" s="169"/>
      <c r="FS11" s="169"/>
      <c r="FT11" s="169"/>
      <c r="FU11" s="169"/>
      <c r="FV11" s="169"/>
      <c r="FW11" s="169"/>
      <c r="FX11" s="169"/>
      <c r="FY11" s="169"/>
      <c r="FZ11" s="169"/>
      <c r="GA11" s="169"/>
      <c r="GB11" s="169"/>
      <c r="GC11" s="169"/>
      <c r="GD11" s="169"/>
      <c r="GE11" s="169"/>
      <c r="GF11" s="169"/>
      <c r="GG11" s="169"/>
      <c r="GH11" s="169"/>
      <c r="GI11" s="169"/>
      <c r="GJ11" s="169"/>
      <c r="GK11" s="169"/>
      <c r="GL11" s="169"/>
      <c r="GM11" s="169"/>
      <c r="GN11" s="169"/>
      <c r="GO11" s="169"/>
      <c r="GP11" s="169"/>
      <c r="GQ11" s="169"/>
      <c r="GR11" s="169"/>
      <c r="GS11" s="169"/>
      <c r="GT11" s="169"/>
      <c r="GU11" s="169"/>
      <c r="GV11" s="169"/>
      <c r="GW11" s="169"/>
      <c r="GX11" s="169"/>
      <c r="GY11" s="169"/>
      <c r="GZ11" s="169"/>
      <c r="HA11" s="169"/>
      <c r="HB11" s="169"/>
      <c r="HC11" s="169"/>
      <c r="HD11" s="169"/>
      <c r="HE11" s="169"/>
      <c r="HF11" s="169"/>
      <c r="HG11" s="169"/>
      <c r="HH11" s="169"/>
      <c r="HI11" s="169"/>
      <c r="HJ11" s="169"/>
      <c r="HK11" s="169"/>
      <c r="HL11" s="169"/>
      <c r="HM11" s="169"/>
      <c r="HN11" s="169"/>
      <c r="HO11" s="169"/>
      <c r="HP11" s="169"/>
      <c r="HQ11" s="169"/>
      <c r="HR11" s="169"/>
      <c r="HS11" s="169"/>
      <c r="HT11" s="169"/>
      <c r="HU11" s="169"/>
      <c r="HV11" s="169"/>
      <c r="HW11" s="169"/>
      <c r="HX11" s="169"/>
      <c r="HY11" s="169"/>
      <c r="HZ11" s="169"/>
      <c r="IA11" s="169"/>
      <c r="IB11" s="169"/>
      <c r="IC11" s="169"/>
      <c r="ID11" s="169"/>
      <c r="IE11" s="169"/>
      <c r="IF11" s="169"/>
      <c r="IG11" s="169"/>
      <c r="IH11" s="169"/>
      <c r="II11" s="169"/>
      <c r="IJ11" s="169"/>
      <c r="IK11" s="169"/>
      <c r="IL11" s="169"/>
      <c r="IM11" s="169"/>
      <c r="IN11" s="169"/>
      <c r="IO11" s="169"/>
      <c r="IP11" s="169"/>
      <c r="IQ11" s="169"/>
      <c r="IR11" s="169"/>
      <c r="IS11" s="169"/>
      <c r="IT11" s="169"/>
      <c r="IU11" s="169"/>
      <c r="IV11" s="169"/>
      <c r="IW11" s="169"/>
      <c r="IX11" s="169"/>
      <c r="IY11" s="169"/>
      <c r="IZ11" s="169"/>
      <c r="JA11" s="169"/>
      <c r="JB11" s="169"/>
      <c r="JC11" s="169"/>
      <c r="JD11" s="169"/>
      <c r="JE11" s="169"/>
      <c r="JF11" s="169"/>
      <c r="JG11" s="169"/>
      <c r="JH11" s="169"/>
      <c r="JI11" s="169"/>
      <c r="JJ11" s="169"/>
      <c r="JK11" s="169"/>
      <c r="JL11" s="169"/>
      <c r="JM11" s="169"/>
      <c r="JN11" s="169"/>
      <c r="JO11" s="169"/>
      <c r="JP11" s="169"/>
      <c r="JQ11" s="169"/>
      <c r="JR11" s="169"/>
      <c r="JS11" s="169"/>
      <c r="JT11" s="169"/>
      <c r="JU11" s="169"/>
      <c r="JV11" s="169"/>
      <c r="JW11" s="169"/>
      <c r="JX11" s="169"/>
      <c r="JY11" s="169"/>
      <c r="JZ11" s="169"/>
      <c r="KA11" s="169"/>
      <c r="KB11" s="169"/>
      <c r="KC11" s="169"/>
      <c r="KD11" s="169"/>
      <c r="KE11" s="169"/>
      <c r="KF11" s="169"/>
      <c r="KG11" s="169"/>
      <c r="KH11" s="169"/>
      <c r="KI11" s="169"/>
      <c r="KJ11" s="169"/>
      <c r="KK11" s="169"/>
      <c r="KL11" s="169"/>
    </row>
    <row r="12" spans="1:298" s="142" customFormat="1" ht="30.75" thickBot="1" x14ac:dyDescent="0.3">
      <c r="A12" s="128" t="s">
        <v>21</v>
      </c>
      <c r="B12" s="129" t="s">
        <v>22</v>
      </c>
      <c r="C12" s="129" t="s">
        <v>73</v>
      </c>
      <c r="D12" s="129" t="s">
        <v>74</v>
      </c>
      <c r="E12" s="129" t="s">
        <v>427</v>
      </c>
      <c r="F12" s="130" t="s">
        <v>22</v>
      </c>
      <c r="G12" s="130" t="s">
        <v>22</v>
      </c>
      <c r="H12" s="131" t="s">
        <v>22</v>
      </c>
      <c r="I12" s="129" t="s">
        <v>22</v>
      </c>
      <c r="J12" s="129" t="s">
        <v>22</v>
      </c>
      <c r="K12" s="132" t="s">
        <v>22</v>
      </c>
      <c r="L12" s="133" t="s">
        <v>22</v>
      </c>
      <c r="M12" s="134" t="s">
        <v>28</v>
      </c>
      <c r="N12" s="134" t="s">
        <v>24</v>
      </c>
      <c r="O12" s="134" t="s">
        <v>27</v>
      </c>
      <c r="P12" s="134" t="s">
        <v>23</v>
      </c>
      <c r="Q12" s="134" t="s">
        <v>100</v>
      </c>
      <c r="R12" s="134" t="s">
        <v>101</v>
      </c>
      <c r="S12" s="134" t="s">
        <v>102</v>
      </c>
      <c r="T12" s="134" t="s">
        <v>103</v>
      </c>
      <c r="U12" s="134" t="s">
        <v>104</v>
      </c>
      <c r="V12" s="134" t="s">
        <v>105</v>
      </c>
      <c r="W12" s="134" t="s">
        <v>106</v>
      </c>
      <c r="X12" s="134" t="s">
        <v>107</v>
      </c>
      <c r="Y12" s="134" t="s">
        <v>108</v>
      </c>
      <c r="Z12" s="134" t="s">
        <v>109</v>
      </c>
      <c r="AA12" s="134" t="s">
        <v>110</v>
      </c>
      <c r="AB12" s="134" t="s">
        <v>111</v>
      </c>
      <c r="AC12" s="134" t="s">
        <v>112</v>
      </c>
      <c r="AD12" s="135" t="s">
        <v>113</v>
      </c>
      <c r="AE12" s="134" t="s">
        <v>114</v>
      </c>
      <c r="AF12" s="136" t="s">
        <v>115</v>
      </c>
      <c r="AG12" s="137" t="s">
        <v>26</v>
      </c>
      <c r="AH12" s="138" t="s">
        <v>26</v>
      </c>
      <c r="AI12" s="139" t="s">
        <v>116</v>
      </c>
      <c r="AJ12" s="134" t="s">
        <v>117</v>
      </c>
      <c r="AK12" s="139" t="s">
        <v>118</v>
      </c>
      <c r="AL12" s="139" t="s">
        <v>119</v>
      </c>
      <c r="AM12" s="134" t="s">
        <v>120</v>
      </c>
      <c r="AN12" s="140" t="s">
        <v>121</v>
      </c>
      <c r="AO12" s="141" t="s">
        <v>23</v>
      </c>
      <c r="AP12" s="141" t="s">
        <v>26</v>
      </c>
      <c r="AQ12" s="141" t="s">
        <v>26</v>
      </c>
      <c r="AR12" s="93" t="s">
        <v>32</v>
      </c>
      <c r="AS12" s="93" t="s">
        <v>142</v>
      </c>
      <c r="AT12" s="93" t="s">
        <v>33</v>
      </c>
      <c r="AU12" s="93" t="s">
        <v>34</v>
      </c>
      <c r="AV12" s="93" t="s">
        <v>143</v>
      </c>
      <c r="AW12" s="93" t="s">
        <v>144</v>
      </c>
      <c r="AX12" s="93" t="s">
        <v>145</v>
      </c>
      <c r="AY12" s="93" t="s">
        <v>146</v>
      </c>
      <c r="AZ12" s="93" t="s">
        <v>147</v>
      </c>
      <c r="BA12" s="93" t="s">
        <v>148</v>
      </c>
      <c r="BB12" s="93" t="s">
        <v>149</v>
      </c>
      <c r="BC12" s="93" t="s">
        <v>150</v>
      </c>
      <c r="BD12" s="93" t="s">
        <v>151</v>
      </c>
      <c r="BE12" s="93" t="s">
        <v>152</v>
      </c>
      <c r="BF12" s="93" t="s">
        <v>153</v>
      </c>
      <c r="BG12" s="93" t="s">
        <v>154</v>
      </c>
      <c r="BH12" s="93" t="s">
        <v>155</v>
      </c>
      <c r="BI12" s="93" t="s">
        <v>156</v>
      </c>
      <c r="BJ12" s="93" t="s">
        <v>157</v>
      </c>
      <c r="BK12" s="93" t="s">
        <v>158</v>
      </c>
      <c r="BL12" s="93" t="s">
        <v>159</v>
      </c>
      <c r="BM12" s="93" t="s">
        <v>160</v>
      </c>
      <c r="BN12" s="93" t="s">
        <v>161</v>
      </c>
      <c r="BO12" s="93" t="s">
        <v>162</v>
      </c>
      <c r="BP12" s="93" t="s">
        <v>163</v>
      </c>
      <c r="BQ12" s="93" t="s">
        <v>164</v>
      </c>
      <c r="BR12" s="93" t="s">
        <v>165</v>
      </c>
      <c r="BS12" s="93" t="s">
        <v>166</v>
      </c>
      <c r="BT12" s="93" t="s">
        <v>167</v>
      </c>
      <c r="BU12" s="93" t="s">
        <v>168</v>
      </c>
      <c r="BV12" s="93" t="s">
        <v>169</v>
      </c>
      <c r="BW12" s="93" t="s">
        <v>170</v>
      </c>
      <c r="BX12" s="93" t="s">
        <v>171</v>
      </c>
      <c r="BY12" s="93" t="s">
        <v>172</v>
      </c>
      <c r="BZ12" s="93" t="s">
        <v>173</v>
      </c>
      <c r="CA12" s="93" t="s">
        <v>174</v>
      </c>
      <c r="CB12" s="93" t="s">
        <v>175</v>
      </c>
      <c r="CC12" s="93" t="s">
        <v>176</v>
      </c>
      <c r="CD12" s="93" t="s">
        <v>177</v>
      </c>
      <c r="CE12" s="93" t="s">
        <v>178</v>
      </c>
      <c r="CF12" s="93" t="s">
        <v>179</v>
      </c>
      <c r="CG12" s="93" t="s">
        <v>180</v>
      </c>
      <c r="CH12" s="93" t="s">
        <v>181</v>
      </c>
      <c r="CI12" s="93" t="s">
        <v>182</v>
      </c>
      <c r="CJ12" s="93" t="s">
        <v>183</v>
      </c>
      <c r="CK12" s="93" t="s">
        <v>184</v>
      </c>
      <c r="CL12" s="93" t="s">
        <v>185</v>
      </c>
      <c r="CM12" s="93" t="s">
        <v>186</v>
      </c>
      <c r="CN12" s="93" t="s">
        <v>187</v>
      </c>
      <c r="CO12" s="93" t="s">
        <v>188</v>
      </c>
      <c r="CP12" s="93" t="s">
        <v>189</v>
      </c>
      <c r="CQ12" s="93" t="s">
        <v>190</v>
      </c>
      <c r="CR12" s="93" t="s">
        <v>191</v>
      </c>
      <c r="CS12" s="93" t="s">
        <v>192</v>
      </c>
      <c r="CT12" s="93" t="s">
        <v>193</v>
      </c>
      <c r="CU12" s="93" t="s">
        <v>194</v>
      </c>
      <c r="CV12" s="93" t="s">
        <v>195</v>
      </c>
      <c r="CW12" s="93" t="s">
        <v>196</v>
      </c>
      <c r="CX12" s="93" t="s">
        <v>197</v>
      </c>
      <c r="CY12" s="93" t="s">
        <v>198</v>
      </c>
      <c r="CZ12" s="93" t="s">
        <v>199</v>
      </c>
      <c r="DA12" s="93" t="s">
        <v>200</v>
      </c>
      <c r="DB12" s="93" t="s">
        <v>201</v>
      </c>
      <c r="DC12" s="93" t="s">
        <v>202</v>
      </c>
      <c r="DD12" s="93" t="s">
        <v>203</v>
      </c>
      <c r="DE12" s="93" t="s">
        <v>204</v>
      </c>
      <c r="DF12" s="93" t="s">
        <v>205</v>
      </c>
      <c r="DG12" s="93" t="s">
        <v>206</v>
      </c>
      <c r="DH12" s="93" t="s">
        <v>207</v>
      </c>
      <c r="DI12" s="93" t="s">
        <v>208</v>
      </c>
      <c r="DJ12" s="93" t="s">
        <v>209</v>
      </c>
      <c r="DK12" s="93" t="s">
        <v>210</v>
      </c>
      <c r="DL12" s="93" t="s">
        <v>211</v>
      </c>
      <c r="DM12" s="93" t="s">
        <v>212</v>
      </c>
      <c r="DN12" s="93" t="s">
        <v>213</v>
      </c>
      <c r="DO12" s="93" t="s">
        <v>214</v>
      </c>
      <c r="DP12" s="93" t="s">
        <v>215</v>
      </c>
      <c r="DQ12" s="93" t="s">
        <v>216</v>
      </c>
      <c r="DR12" s="93" t="s">
        <v>217</v>
      </c>
      <c r="DS12" s="93" t="s">
        <v>218</v>
      </c>
      <c r="DT12" s="93" t="s">
        <v>219</v>
      </c>
      <c r="DU12" s="93" t="s">
        <v>220</v>
      </c>
      <c r="DV12" s="93" t="s">
        <v>221</v>
      </c>
      <c r="DW12" s="93" t="s">
        <v>222</v>
      </c>
      <c r="DX12" s="93" t="s">
        <v>223</v>
      </c>
      <c r="DY12" s="93" t="s">
        <v>224</v>
      </c>
      <c r="DZ12" s="93" t="s">
        <v>225</v>
      </c>
      <c r="EA12" s="93" t="s">
        <v>226</v>
      </c>
      <c r="EB12" s="93" t="s">
        <v>227</v>
      </c>
      <c r="EC12" s="93" t="s">
        <v>228</v>
      </c>
      <c r="ED12" s="93" t="s">
        <v>229</v>
      </c>
      <c r="EE12" s="93" t="s">
        <v>230</v>
      </c>
      <c r="EF12" s="93" t="s">
        <v>231</v>
      </c>
      <c r="EG12" s="93" t="s">
        <v>232</v>
      </c>
      <c r="EH12" s="93" t="s">
        <v>233</v>
      </c>
      <c r="EI12" s="93" t="s">
        <v>234</v>
      </c>
      <c r="EJ12" s="93" t="s">
        <v>235</v>
      </c>
      <c r="EK12" s="93" t="s">
        <v>236</v>
      </c>
      <c r="EL12" s="93" t="s">
        <v>237</v>
      </c>
      <c r="EM12" s="93" t="s">
        <v>238</v>
      </c>
      <c r="EN12" s="93" t="s">
        <v>239</v>
      </c>
      <c r="EO12" s="93" t="s">
        <v>240</v>
      </c>
      <c r="EP12" s="93" t="s">
        <v>241</v>
      </c>
      <c r="EQ12" s="93" t="s">
        <v>242</v>
      </c>
      <c r="ER12" s="93" t="s">
        <v>243</v>
      </c>
      <c r="ES12" s="93" t="s">
        <v>244</v>
      </c>
      <c r="ET12" s="93" t="s">
        <v>245</v>
      </c>
      <c r="EU12" s="93" t="s">
        <v>246</v>
      </c>
      <c r="EV12" s="93" t="s">
        <v>247</v>
      </c>
      <c r="EW12" s="93" t="s">
        <v>248</v>
      </c>
      <c r="EX12" s="93" t="s">
        <v>249</v>
      </c>
      <c r="EY12" s="93" t="s">
        <v>250</v>
      </c>
      <c r="EZ12" s="93" t="s">
        <v>251</v>
      </c>
      <c r="FA12" s="93" t="s">
        <v>252</v>
      </c>
      <c r="FB12" s="93" t="s">
        <v>253</v>
      </c>
      <c r="FC12" s="93" t="s">
        <v>254</v>
      </c>
      <c r="FD12" s="93" t="s">
        <v>255</v>
      </c>
      <c r="FE12" s="93" t="s">
        <v>256</v>
      </c>
      <c r="FF12" s="93" t="s">
        <v>257</v>
      </c>
      <c r="FG12" s="93" t="s">
        <v>258</v>
      </c>
      <c r="FH12" s="93" t="s">
        <v>259</v>
      </c>
      <c r="FI12" s="93" t="s">
        <v>260</v>
      </c>
      <c r="FJ12" s="93" t="s">
        <v>261</v>
      </c>
      <c r="FK12" s="93" t="s">
        <v>262</v>
      </c>
      <c r="FL12" s="93" t="s">
        <v>263</v>
      </c>
      <c r="FM12" s="93" t="s">
        <v>264</v>
      </c>
      <c r="FN12" s="93" t="s">
        <v>265</v>
      </c>
      <c r="FO12" s="93" t="s">
        <v>266</v>
      </c>
    </row>
    <row r="13" spans="1:298" x14ac:dyDescent="0.25">
      <c r="A13" s="111" t="s">
        <v>29</v>
      </c>
      <c r="B13" s="98" t="str">
        <f>CONCATENATE("INN3", IF(ISBLANK(H13),"x",H13), I13, J13, "C-",INDEX(C13:E13,B3))</f>
        <v>INN3x77C-HP19</v>
      </c>
      <c r="C13" s="98"/>
      <c r="D13" s="98"/>
      <c r="E13" s="98" t="s">
        <v>430</v>
      </c>
      <c r="F13" s="108"/>
      <c r="G13" s="108"/>
      <c r="H13" s="108"/>
      <c r="I13" s="67">
        <v>7</v>
      </c>
      <c r="J13" s="67">
        <v>7</v>
      </c>
      <c r="K13" s="147">
        <f>'Data Lookup'!F21</f>
        <v>7</v>
      </c>
      <c r="L13" s="147">
        <f>'Data Lookup'!G21</f>
        <v>7</v>
      </c>
      <c r="M13" s="148">
        <v>115</v>
      </c>
      <c r="N13" s="148">
        <v>950</v>
      </c>
      <c r="O13" s="148">
        <v>9.1</v>
      </c>
      <c r="P13" s="148">
        <v>25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  <c r="V13" s="104">
        <v>0</v>
      </c>
      <c r="W13" s="104">
        <v>0</v>
      </c>
      <c r="X13" s="104">
        <v>0</v>
      </c>
      <c r="Y13" s="104">
        <v>1</v>
      </c>
      <c r="Z13" s="104">
        <v>1</v>
      </c>
      <c r="AA13" s="104">
        <v>0</v>
      </c>
      <c r="AB13" s="104">
        <v>0</v>
      </c>
      <c r="AC13" s="104">
        <v>1</v>
      </c>
      <c r="AD13" s="105" t="s">
        <v>32</v>
      </c>
      <c r="AE13" s="124">
        <v>1</v>
      </c>
      <c r="AF13" s="26">
        <v>0</v>
      </c>
      <c r="AG13" s="110">
        <v>675</v>
      </c>
      <c r="AH13" s="112">
        <v>630</v>
      </c>
      <c r="AI13" s="148">
        <v>6</v>
      </c>
      <c r="AJ13" s="148">
        <v>0</v>
      </c>
      <c r="AK13" s="148">
        <v>10</v>
      </c>
      <c r="AL13" s="148">
        <v>6</v>
      </c>
      <c r="AM13" s="148">
        <v>0</v>
      </c>
      <c r="AN13" s="104">
        <v>0</v>
      </c>
      <c r="AO13" s="109">
        <v>132</v>
      </c>
      <c r="AP13" s="114">
        <v>3.2000000000000001E-2</v>
      </c>
      <c r="AQ13" s="47">
        <v>5</v>
      </c>
      <c r="AR13" s="103">
        <v>0</v>
      </c>
      <c r="AS13" s="103">
        <v>0</v>
      </c>
      <c r="AT13" s="103">
        <v>0</v>
      </c>
      <c r="AU13" s="103">
        <v>0</v>
      </c>
      <c r="AV13" s="103">
        <v>0</v>
      </c>
      <c r="AW13" s="103">
        <v>0</v>
      </c>
      <c r="AX13" s="103">
        <v>0</v>
      </c>
      <c r="AY13" s="103">
        <v>0</v>
      </c>
      <c r="AZ13" s="103">
        <v>0</v>
      </c>
      <c r="BA13" s="103">
        <v>0</v>
      </c>
      <c r="BB13" s="103">
        <v>0</v>
      </c>
      <c r="BC13" s="103">
        <v>0</v>
      </c>
      <c r="BD13" s="103">
        <v>0</v>
      </c>
      <c r="BE13" s="103">
        <v>0</v>
      </c>
      <c r="BF13" s="103">
        <v>0</v>
      </c>
      <c r="BG13" s="103">
        <v>0</v>
      </c>
      <c r="BH13" s="103">
        <v>0</v>
      </c>
      <c r="BI13" s="103">
        <v>0</v>
      </c>
      <c r="BJ13" s="103">
        <v>0</v>
      </c>
      <c r="BK13" s="103">
        <v>0</v>
      </c>
      <c r="BL13" s="103">
        <v>0</v>
      </c>
      <c r="BM13" s="103">
        <v>0</v>
      </c>
      <c r="BN13" s="103">
        <v>0</v>
      </c>
      <c r="BO13" s="103">
        <v>1</v>
      </c>
      <c r="BP13" s="103">
        <v>0</v>
      </c>
      <c r="BQ13" s="103">
        <v>0</v>
      </c>
      <c r="BR13" s="103">
        <v>0</v>
      </c>
      <c r="BS13" s="103">
        <v>1</v>
      </c>
      <c r="BT13" s="103">
        <v>0</v>
      </c>
      <c r="BU13" s="103">
        <v>0</v>
      </c>
      <c r="BV13" s="103">
        <v>0</v>
      </c>
      <c r="BW13" s="103">
        <v>0</v>
      </c>
      <c r="BX13" s="103">
        <v>0</v>
      </c>
      <c r="BY13" s="103">
        <v>0</v>
      </c>
      <c r="BZ13" s="103">
        <v>0</v>
      </c>
      <c r="CA13" s="103">
        <v>0</v>
      </c>
      <c r="CB13" s="103">
        <v>0</v>
      </c>
      <c r="CC13" s="103">
        <v>0</v>
      </c>
      <c r="CD13" s="103">
        <v>1</v>
      </c>
      <c r="CE13" s="103">
        <v>0</v>
      </c>
      <c r="CF13" s="103">
        <v>0</v>
      </c>
      <c r="CG13" s="103">
        <v>0</v>
      </c>
      <c r="CH13" s="103">
        <v>0</v>
      </c>
      <c r="CI13" s="103">
        <v>0</v>
      </c>
      <c r="CJ13" s="103">
        <v>0</v>
      </c>
      <c r="CK13" s="103">
        <v>0</v>
      </c>
      <c r="CL13" s="103">
        <v>0</v>
      </c>
      <c r="CM13" s="103">
        <v>0</v>
      </c>
      <c r="CN13" s="103">
        <v>0</v>
      </c>
      <c r="CO13" s="103">
        <v>0</v>
      </c>
      <c r="CP13" s="103">
        <v>0</v>
      </c>
      <c r="CQ13" s="103">
        <v>0</v>
      </c>
      <c r="CR13" s="103">
        <v>0</v>
      </c>
      <c r="CS13" s="103">
        <v>0</v>
      </c>
      <c r="CT13" s="103">
        <v>0</v>
      </c>
      <c r="CU13" s="103">
        <v>1</v>
      </c>
      <c r="CV13" s="103">
        <v>0</v>
      </c>
      <c r="CW13" s="103">
        <v>0</v>
      </c>
      <c r="CX13" s="103">
        <v>0</v>
      </c>
      <c r="CY13" s="103">
        <v>0</v>
      </c>
      <c r="CZ13" s="103">
        <v>0</v>
      </c>
      <c r="DA13" s="103">
        <v>0</v>
      </c>
      <c r="DB13" s="103">
        <v>0</v>
      </c>
      <c r="DC13" s="103">
        <v>1</v>
      </c>
      <c r="DD13" s="103">
        <v>0</v>
      </c>
      <c r="DE13" s="103">
        <v>0</v>
      </c>
      <c r="DF13" s="103">
        <v>0</v>
      </c>
      <c r="DG13" s="103">
        <v>0</v>
      </c>
      <c r="DH13" s="103">
        <v>0</v>
      </c>
      <c r="DI13" s="103">
        <v>0</v>
      </c>
      <c r="DJ13" s="103">
        <v>0</v>
      </c>
      <c r="DK13" s="103">
        <v>0</v>
      </c>
      <c r="DL13" s="103">
        <v>0</v>
      </c>
      <c r="DM13" s="103">
        <v>0</v>
      </c>
      <c r="DN13" s="103">
        <v>0</v>
      </c>
      <c r="DO13" s="103">
        <v>0</v>
      </c>
      <c r="DP13" s="103">
        <v>1</v>
      </c>
      <c r="DQ13" s="103">
        <v>0</v>
      </c>
      <c r="DR13" s="103">
        <v>0</v>
      </c>
      <c r="DS13" s="103">
        <v>0</v>
      </c>
      <c r="DT13" s="103">
        <v>0</v>
      </c>
      <c r="DU13" s="103">
        <v>0</v>
      </c>
      <c r="DV13" s="103">
        <v>0</v>
      </c>
      <c r="DW13" s="103">
        <v>0</v>
      </c>
      <c r="DX13" s="103">
        <v>0</v>
      </c>
      <c r="DY13" s="103">
        <v>0</v>
      </c>
      <c r="DZ13" s="103">
        <v>0</v>
      </c>
      <c r="EA13" s="103">
        <v>0</v>
      </c>
      <c r="EB13" s="103">
        <v>0</v>
      </c>
      <c r="EC13" s="103">
        <v>0</v>
      </c>
      <c r="ED13" s="103">
        <v>0</v>
      </c>
      <c r="EE13" s="103">
        <v>0</v>
      </c>
      <c r="EF13" s="103">
        <v>0</v>
      </c>
      <c r="EG13" s="103">
        <v>0</v>
      </c>
      <c r="EH13" s="103">
        <v>0</v>
      </c>
      <c r="EI13" s="103">
        <v>0</v>
      </c>
      <c r="EJ13" s="103">
        <v>0</v>
      </c>
      <c r="EK13" s="103">
        <v>0</v>
      </c>
      <c r="EL13" s="103">
        <v>0</v>
      </c>
      <c r="EM13" s="103">
        <v>0</v>
      </c>
      <c r="EN13" s="103">
        <v>0</v>
      </c>
      <c r="EO13" s="103">
        <v>0</v>
      </c>
      <c r="EP13" s="103">
        <v>0</v>
      </c>
      <c r="EQ13" s="103">
        <v>0</v>
      </c>
      <c r="ER13" s="103">
        <v>1</v>
      </c>
      <c r="ES13" s="103">
        <v>0</v>
      </c>
      <c r="ET13" s="103">
        <v>0</v>
      </c>
      <c r="EU13" s="103">
        <v>0</v>
      </c>
      <c r="EV13" s="103">
        <v>0</v>
      </c>
      <c r="EW13" s="103">
        <v>0</v>
      </c>
      <c r="EX13" s="103">
        <v>0</v>
      </c>
      <c r="EY13" s="103">
        <v>0</v>
      </c>
      <c r="EZ13" s="103">
        <v>0</v>
      </c>
      <c r="FA13" s="103">
        <v>0</v>
      </c>
      <c r="FB13" s="103">
        <v>0</v>
      </c>
      <c r="FC13" s="103">
        <v>0</v>
      </c>
      <c r="FD13" s="103">
        <v>0</v>
      </c>
      <c r="FE13" s="103">
        <v>0</v>
      </c>
      <c r="FF13" s="103">
        <v>0</v>
      </c>
      <c r="FG13" s="103">
        <v>0</v>
      </c>
      <c r="FH13" s="103">
        <v>0</v>
      </c>
      <c r="FI13" s="103">
        <v>0</v>
      </c>
      <c r="FJ13" s="103">
        <v>0</v>
      </c>
      <c r="FK13" s="103">
        <v>0</v>
      </c>
      <c r="FL13" s="103">
        <v>0</v>
      </c>
      <c r="FM13" s="103">
        <v>0</v>
      </c>
      <c r="FN13" s="103">
        <v>0</v>
      </c>
      <c r="FO13" s="103">
        <v>0</v>
      </c>
    </row>
    <row r="15" spans="1:298" ht="43.9" customHeight="1" x14ac:dyDescent="0.25">
      <c r="N15" s="24"/>
      <c r="AQ15" s="43"/>
    </row>
    <row r="16" spans="1:298" ht="61.15" customHeight="1" x14ac:dyDescent="0.3">
      <c r="E16" s="69"/>
    </row>
    <row r="17" spans="1:42" x14ac:dyDescent="0.25">
      <c r="AP17" s="113"/>
    </row>
    <row r="21" spans="1:42" ht="31.5" x14ac:dyDescent="0.35">
      <c r="A21" s="45" t="s">
        <v>124</v>
      </c>
      <c r="B21" s="146" t="s">
        <v>129</v>
      </c>
    </row>
    <row r="23" spans="1:42" x14ac:dyDescent="0.25">
      <c r="M23" s="126" t="s">
        <v>426</v>
      </c>
    </row>
    <row r="24" spans="1:42" x14ac:dyDescent="0.25">
      <c r="M24" s="148">
        <f>('Data Lookup'!H$21)</f>
        <v>115</v>
      </c>
      <c r="N24" s="148">
        <f>('Data Lookup'!F$25) *(1-0.2*AA24)*(1+0.2*AB24)</f>
        <v>1550</v>
      </c>
      <c r="O24" s="148">
        <f>('Data Lookup'!I$21)</f>
        <v>9.1</v>
      </c>
      <c r="P24" s="148">
        <v>25</v>
      </c>
      <c r="Q24" s="104">
        <v>0</v>
      </c>
      <c r="R24" s="104">
        <v>0</v>
      </c>
      <c r="S24" s="104">
        <v>0</v>
      </c>
      <c r="T24" s="104">
        <v>0</v>
      </c>
      <c r="U24" s="104">
        <v>0</v>
      </c>
      <c r="V24" s="104">
        <v>0</v>
      </c>
      <c r="W24" s="104">
        <v>0</v>
      </c>
      <c r="X24" s="104">
        <v>0</v>
      </c>
      <c r="Y24" s="104">
        <v>0</v>
      </c>
      <c r="Z24" s="104">
        <v>0</v>
      </c>
      <c r="AA24" s="104">
        <v>0</v>
      </c>
      <c r="AB24" s="104">
        <v>0</v>
      </c>
      <c r="AC24" s="104">
        <v>1</v>
      </c>
      <c r="AD24" s="105" t="s">
        <v>32</v>
      </c>
      <c r="AE24" s="148">
        <v>1</v>
      </c>
      <c r="AF24" s="26">
        <f>'Data Lookup'!J$21</f>
        <v>0</v>
      </c>
      <c r="AG24" s="110">
        <f>'Data Lookup'!K$21</f>
        <v>750</v>
      </c>
      <c r="AH24" s="112">
        <f>'Data Lookup'!L$21</f>
        <v>705</v>
      </c>
      <c r="AI24" s="148">
        <f>'Data Lookup'!M$21</f>
        <v>13</v>
      </c>
      <c r="AJ24" s="148">
        <f>'Data Lookup'!N$21</f>
        <v>0</v>
      </c>
      <c r="AK24" s="148">
        <f>'Data Lookup'!O$21</f>
        <v>22</v>
      </c>
      <c r="AL24" s="148">
        <f>'Data Lookup'!P$21</f>
        <v>10</v>
      </c>
      <c r="AM24" s="148">
        <f>'Data Lookup'!Q$21</f>
        <v>0</v>
      </c>
      <c r="AN24" s="104">
        <v>0</v>
      </c>
    </row>
  </sheetData>
  <mergeCells count="1">
    <mergeCell ref="C11:E1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heckDuplication">
          <controlPr defaultSize="0" autoLine="0" r:id="rId5">
            <anchor moveWithCells="1">
              <from>
                <xdr:col>5</xdr:col>
                <xdr:colOff>561975</xdr:colOff>
                <xdr:row>2</xdr:row>
                <xdr:rowOff>47625</xdr:rowOff>
              </from>
              <to>
                <xdr:col>9</xdr:col>
                <xdr:colOff>228600</xdr:colOff>
                <xdr:row>3</xdr:row>
                <xdr:rowOff>104775</xdr:rowOff>
              </to>
            </anchor>
          </controlPr>
        </control>
      </mc:Choice>
      <mc:Fallback>
        <control shapeId="20481" r:id="rId4" name="CheckDuplication"/>
      </mc:Fallback>
    </mc:AlternateContent>
    <mc:AlternateContent xmlns:mc="http://schemas.openxmlformats.org/markup-compatibility/2006">
      <mc:Choice Requires="x14">
        <control shapeId="20482" r:id="rId6" name="CopyHCodeFeatureTrim">
          <controlPr defaultSize="0" autoLine="0" r:id="rId7">
            <anchor moveWithCells="1">
              <from>
                <xdr:col>0</xdr:col>
                <xdr:colOff>57150</xdr:colOff>
                <xdr:row>17</xdr:row>
                <xdr:rowOff>19050</xdr:rowOff>
              </from>
              <to>
                <xdr:col>2</xdr:col>
                <xdr:colOff>447675</xdr:colOff>
                <xdr:row>19</xdr:row>
                <xdr:rowOff>57150</xdr:rowOff>
              </to>
            </anchor>
          </controlPr>
        </control>
      </mc:Choice>
      <mc:Fallback>
        <control shapeId="20482" r:id="rId6" name="CopyHCodeFeatureTrim"/>
      </mc:Fallback>
    </mc:AlternateContent>
    <mc:AlternateContent xmlns:mc="http://schemas.openxmlformats.org/markup-compatibility/2006">
      <mc:Choice Requires="x14">
        <control shapeId="20526" r:id="rId8" name="OpenFeatureGUI">
          <controlPr defaultSize="0" autoLine="0" r:id="rId9">
            <anchor moveWithCells="1">
              <from>
                <xdr:col>4</xdr:col>
                <xdr:colOff>19050</xdr:colOff>
                <xdr:row>16</xdr:row>
                <xdr:rowOff>0</xdr:rowOff>
              </from>
              <to>
                <xdr:col>8</xdr:col>
                <xdr:colOff>104775</xdr:colOff>
                <xdr:row>20</xdr:row>
                <xdr:rowOff>9525</xdr:rowOff>
              </to>
            </anchor>
          </controlPr>
        </control>
      </mc:Choice>
      <mc:Fallback>
        <control shapeId="20526" r:id="rId8" name="OpenFeatureGUI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9"/>
  <sheetViews>
    <sheetView workbookViewId="0">
      <selection sqref="A1:D1"/>
    </sheetView>
  </sheetViews>
  <sheetFormatPr defaultRowHeight="15" x14ac:dyDescent="0.25"/>
  <cols>
    <col min="1" max="1" width="5.5703125" style="15" bestFit="1" customWidth="1"/>
    <col min="2" max="2" width="9.140625" style="10" customWidth="1"/>
    <col min="3" max="3" width="9.28515625" style="10" bestFit="1" customWidth="1"/>
    <col min="4" max="4" width="77.85546875" style="12" bestFit="1" customWidth="1"/>
    <col min="5" max="5" width="2.140625" bestFit="1" customWidth="1"/>
  </cols>
  <sheetData>
    <row r="1" spans="1:5" ht="14.45" x14ac:dyDescent="0.3">
      <c r="A1" s="15" t="s">
        <v>61</v>
      </c>
      <c r="B1" s="15" t="s">
        <v>71</v>
      </c>
      <c r="C1" s="15" t="s">
        <v>122</v>
      </c>
      <c r="D1" s="14" t="s">
        <v>62</v>
      </c>
    </row>
    <row r="2" spans="1:5" ht="14.45" x14ac:dyDescent="0.3">
      <c r="A2" s="15" t="s">
        <v>125</v>
      </c>
      <c r="B2" s="11">
        <v>42755</v>
      </c>
      <c r="C2" s="10" t="s">
        <v>123</v>
      </c>
      <c r="D2" s="12" t="s">
        <v>126</v>
      </c>
    </row>
    <row r="3" spans="1:5" ht="14.45" x14ac:dyDescent="0.3">
      <c r="A3" s="15" t="s">
        <v>131</v>
      </c>
      <c r="B3" s="11">
        <v>42811</v>
      </c>
      <c r="C3" s="10" t="s">
        <v>123</v>
      </c>
      <c r="D3" s="12" t="s">
        <v>132</v>
      </c>
    </row>
    <row r="4" spans="1:5" ht="14.45" x14ac:dyDescent="0.3">
      <c r="A4" s="15" t="s">
        <v>136</v>
      </c>
      <c r="B4" s="11">
        <v>42843</v>
      </c>
      <c r="C4" s="10" t="s">
        <v>123</v>
      </c>
      <c r="D4" s="12" t="s">
        <v>137</v>
      </c>
      <c r="E4" t="s">
        <v>64</v>
      </c>
    </row>
    <row r="5" spans="1:5" ht="14.45" x14ac:dyDescent="0.3">
      <c r="A5" s="15" t="s">
        <v>138</v>
      </c>
      <c r="B5" s="11">
        <v>42857</v>
      </c>
      <c r="C5" s="10" t="s">
        <v>123</v>
      </c>
      <c r="D5" s="12" t="s">
        <v>139</v>
      </c>
      <c r="E5" t="s">
        <v>63</v>
      </c>
    </row>
    <row r="6" spans="1:5" ht="14.45" x14ac:dyDescent="0.3">
      <c r="A6" s="15" t="s">
        <v>140</v>
      </c>
      <c r="B6" s="11">
        <v>42926</v>
      </c>
      <c r="C6" s="11" t="s">
        <v>123</v>
      </c>
      <c r="D6" s="13" t="s">
        <v>141</v>
      </c>
    </row>
    <row r="7" spans="1:5" ht="14.45" x14ac:dyDescent="0.3">
      <c r="A7" s="15" t="s">
        <v>395</v>
      </c>
      <c r="B7" s="11">
        <v>42998</v>
      </c>
      <c r="C7" s="10" t="s">
        <v>123</v>
      </c>
      <c r="D7" s="13" t="s">
        <v>396</v>
      </c>
    </row>
    <row r="8" spans="1:5" ht="27.6" x14ac:dyDescent="0.3">
      <c r="A8" s="15" t="s">
        <v>397</v>
      </c>
      <c r="B8" s="11">
        <v>42998</v>
      </c>
      <c r="C8" s="10" t="s">
        <v>123</v>
      </c>
      <c r="D8" s="12" t="s">
        <v>398</v>
      </c>
    </row>
    <row r="9" spans="1:5" ht="14.45" x14ac:dyDescent="0.3">
      <c r="A9" s="15" t="s">
        <v>399</v>
      </c>
      <c r="B9" s="11">
        <v>42999</v>
      </c>
      <c r="C9" s="10" t="s">
        <v>123</v>
      </c>
      <c r="D9" s="12" t="s">
        <v>400</v>
      </c>
    </row>
    <row r="10" spans="1:5" x14ac:dyDescent="0.25">
      <c r="A10" s="15">
        <v>2.1</v>
      </c>
      <c r="B10" s="11">
        <v>43042</v>
      </c>
      <c r="C10" s="10" t="s">
        <v>123</v>
      </c>
      <c r="D10" s="12" t="s">
        <v>401</v>
      </c>
    </row>
    <row r="11" spans="1:5" x14ac:dyDescent="0.25">
      <c r="A11" s="15">
        <v>2.2000000000000002</v>
      </c>
      <c r="B11" s="173">
        <v>43086</v>
      </c>
      <c r="C11" s="10" t="s">
        <v>123</v>
      </c>
      <c r="D11" s="12" t="s">
        <v>405</v>
      </c>
    </row>
    <row r="12" spans="1:5" ht="26.25" x14ac:dyDescent="0.25">
      <c r="A12" s="15">
        <v>2.2999999999999998</v>
      </c>
      <c r="B12" s="173">
        <v>43132</v>
      </c>
      <c r="C12" s="10" t="s">
        <v>123</v>
      </c>
      <c r="D12" s="12" t="s">
        <v>406</v>
      </c>
    </row>
    <row r="13" spans="1:5" x14ac:dyDescent="0.25">
      <c r="A13" s="186">
        <v>3</v>
      </c>
      <c r="B13" s="173">
        <v>43160</v>
      </c>
      <c r="C13" s="10" t="s">
        <v>123</v>
      </c>
      <c r="D13" s="12" t="s">
        <v>407</v>
      </c>
    </row>
    <row r="14" spans="1:5" ht="26.25" x14ac:dyDescent="0.25">
      <c r="A14" s="15">
        <v>3.01</v>
      </c>
      <c r="B14" s="173">
        <v>43172</v>
      </c>
      <c r="C14" s="10" t="s">
        <v>123</v>
      </c>
      <c r="D14" s="12" t="s">
        <v>408</v>
      </c>
    </row>
    <row r="15" spans="1:5" ht="26.25" x14ac:dyDescent="0.25">
      <c r="A15" s="15">
        <v>3.02</v>
      </c>
      <c r="B15" s="173">
        <v>43181</v>
      </c>
      <c r="C15" s="10" t="s">
        <v>123</v>
      </c>
      <c r="D15" s="12" t="s">
        <v>424</v>
      </c>
    </row>
    <row r="16" spans="1:5" x14ac:dyDescent="0.25">
      <c r="D16" s="12" t="s">
        <v>425</v>
      </c>
    </row>
    <row r="17" spans="1:4" x14ac:dyDescent="0.25">
      <c r="A17" s="15">
        <v>3.03</v>
      </c>
      <c r="B17" s="173">
        <v>43182</v>
      </c>
      <c r="C17" s="10" t="s">
        <v>428</v>
      </c>
      <c r="D17" s="12" t="s">
        <v>429</v>
      </c>
    </row>
    <row r="18" spans="1:4" ht="26.25" x14ac:dyDescent="0.25">
      <c r="A18" s="15">
        <v>3.04</v>
      </c>
      <c r="B18" s="173">
        <v>43194</v>
      </c>
      <c r="C18" s="10" t="s">
        <v>428</v>
      </c>
      <c r="D18" s="12" t="s">
        <v>433</v>
      </c>
    </row>
    <row r="19" spans="1:4" ht="26.25" x14ac:dyDescent="0.25">
      <c r="A19" s="15">
        <v>3.05</v>
      </c>
      <c r="B19" s="173">
        <v>43199</v>
      </c>
      <c r="C19" s="10" t="s">
        <v>123</v>
      </c>
      <c r="D19" s="12" t="s">
        <v>441</v>
      </c>
    </row>
    <row r="20" spans="1:4" x14ac:dyDescent="0.25">
      <c r="A20" s="15">
        <v>3.06</v>
      </c>
      <c r="B20" s="173">
        <v>43209</v>
      </c>
      <c r="C20" s="10" t="s">
        <v>123</v>
      </c>
      <c r="D20" s="12" t="s">
        <v>442</v>
      </c>
    </row>
    <row r="21" spans="1:4" x14ac:dyDescent="0.25">
      <c r="A21" s="15">
        <v>3.07</v>
      </c>
      <c r="B21" s="173">
        <v>43213</v>
      </c>
      <c r="C21" s="10" t="s">
        <v>123</v>
      </c>
      <c r="D21" s="12" t="s">
        <v>445</v>
      </c>
    </row>
    <row r="22" spans="1:4" ht="26.25" x14ac:dyDescent="0.25">
      <c r="A22" s="15">
        <v>3.08</v>
      </c>
      <c r="B22" s="173">
        <v>43222</v>
      </c>
      <c r="C22" s="10" t="s">
        <v>123</v>
      </c>
      <c r="D22" s="12" t="s">
        <v>447</v>
      </c>
    </row>
    <row r="23" spans="1:4" x14ac:dyDescent="0.25">
      <c r="A23" s="15">
        <v>3.09</v>
      </c>
      <c r="B23" s="173">
        <v>43228</v>
      </c>
      <c r="C23" s="10" t="s">
        <v>123</v>
      </c>
      <c r="D23" s="12" t="s">
        <v>451</v>
      </c>
    </row>
    <row r="24" spans="1:4" ht="26.25" x14ac:dyDescent="0.25">
      <c r="A24" s="186">
        <v>3.1</v>
      </c>
      <c r="B24" s="173">
        <v>43229</v>
      </c>
      <c r="C24" s="10" t="s">
        <v>123</v>
      </c>
      <c r="D24" s="12" t="s">
        <v>454</v>
      </c>
    </row>
    <row r="25" spans="1:4" x14ac:dyDescent="0.25">
      <c r="A25" s="15">
        <v>3.11</v>
      </c>
      <c r="B25" s="173">
        <v>43237</v>
      </c>
      <c r="C25" s="10" t="s">
        <v>428</v>
      </c>
      <c r="D25" s="12" t="s">
        <v>457</v>
      </c>
    </row>
    <row r="26" spans="1:4" ht="26.25" x14ac:dyDescent="0.25">
      <c r="A26" s="15">
        <v>3.12</v>
      </c>
      <c r="B26" s="173">
        <v>43238</v>
      </c>
      <c r="C26" s="10" t="s">
        <v>428</v>
      </c>
      <c r="D26" s="12" t="s">
        <v>458</v>
      </c>
    </row>
    <row r="27" spans="1:4" x14ac:dyDescent="0.25">
      <c r="A27" s="15">
        <v>3.13</v>
      </c>
      <c r="B27" s="173">
        <v>43241</v>
      </c>
      <c r="C27" s="10" t="s">
        <v>428</v>
      </c>
      <c r="D27" s="12" t="s">
        <v>460</v>
      </c>
    </row>
    <row r="28" spans="1:4" ht="26.25" x14ac:dyDescent="0.25">
      <c r="A28" s="15">
        <v>3.14</v>
      </c>
      <c r="B28" s="173">
        <v>43245</v>
      </c>
      <c r="C28" s="10" t="s">
        <v>428</v>
      </c>
      <c r="D28" s="12" t="s">
        <v>462</v>
      </c>
    </row>
    <row r="29" spans="1:4" ht="26.25" x14ac:dyDescent="0.25">
      <c r="A29" s="15">
        <v>3.15</v>
      </c>
      <c r="B29" s="173">
        <v>43277</v>
      </c>
      <c r="C29" s="10" t="s">
        <v>428</v>
      </c>
      <c r="D29" s="12" t="s">
        <v>466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Hcode_master_list</vt:lpstr>
      <vt:lpstr>STDHCode_List</vt:lpstr>
      <vt:lpstr>ProductionCode_List</vt:lpstr>
      <vt:lpstr>Data Lookup</vt:lpstr>
      <vt:lpstr>New_Entry_Rubric</vt:lpstr>
      <vt:lpstr>RevHistory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Munadir Aziz Ahmed</dc:creator>
  <cp:lastModifiedBy>Akshay Nayaknur</cp:lastModifiedBy>
  <dcterms:created xsi:type="dcterms:W3CDTF">2015-09-10T21:07:47Z</dcterms:created>
  <dcterms:modified xsi:type="dcterms:W3CDTF">2018-06-28T21:46:08Z</dcterms:modified>
</cp:coreProperties>
</file>